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cd53ece7c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c585c5dd9c847a6"/>
    <x:sheet xmlns:r="http://schemas.openxmlformats.org/officeDocument/2006/relationships" name="Daily Tracker" sheetId="2" r:id="R20912696aef949cc"/>
    <x:sheet xmlns:r="http://schemas.openxmlformats.org/officeDocument/2006/relationships" name="Weekly Plan" sheetId="3" r:id="Rbc7c6d832ed047d3"/>
    <x:sheet xmlns:r="http://schemas.openxmlformats.org/officeDocument/2006/relationships" name="Interview Questions" sheetId="4" r:id="Rcf81cf33fc9b4768"/>
    <x:sheet xmlns:r="http://schemas.openxmlformats.org/officeDocument/2006/relationships" name="Resources" sheetId="5" r:id="R156365ac9b6b49b5"/>
    <x:sheet xmlns:r="http://schemas.openxmlformats.org/officeDocument/2006/relationships" name="Lists" sheetId="6" r:id="R6a147ce2f8d5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0.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cdb251b954319" /><Relationship Type="http://schemas.openxmlformats.org/officeDocument/2006/relationships/theme" Target="/xl/theme/theme1.xml" Id="R83a8221829c245e8" /><Relationship Type="http://schemas.openxmlformats.org/officeDocument/2006/relationships/sharedStrings" Target="/xl/sharedStrings.xml" Id="R6c95f7a7423b4f93" /><Relationship Type="http://schemas.openxmlformats.org/officeDocument/2006/relationships/worksheet" Target="/xl/worksheets/sheet1.xml" Id="R6c585c5dd9c847a6" /><Relationship Type="http://schemas.openxmlformats.org/officeDocument/2006/relationships/worksheet" Target="/xl/worksheets/sheet2.xml" Id="R20912696aef949cc" /><Relationship Type="http://schemas.openxmlformats.org/officeDocument/2006/relationships/worksheet" Target="/xl/worksheets/sheet3.xml" Id="Rbc7c6d832ed047d3" /><Relationship Type="http://schemas.openxmlformats.org/officeDocument/2006/relationships/worksheet" Target="/xl/worksheets/sheet4.xml" Id="Rcf81cf33fc9b4768" /><Relationship Type="http://schemas.openxmlformats.org/officeDocument/2006/relationships/worksheet" Target="/xl/worksheets/sheet5.xml" Id="R156365ac9b6b49b5" /><Relationship Type="http://schemas.openxmlformats.org/officeDocument/2006/relationships/worksheet" Target="/xl/worksheets/sheet6.xml" Id="R6a147ce2f8d546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35f5627d4d4bb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Progress</c:v>
          </c:tx>
          <c:cat>
            <c:strRef>
              <c:f>'Dashboard'!$A$14:$A$21</c:f>
              <c:strCache>
                <c:ptCount val="0"/>
              </c:strCache>
            </c:strRef>
          </c:cat>
          <c:val>
            <c:numRef>
              <c:f>'Dashboard'!$F$14:$F$21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35f5627d4d4b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TrackerTable" displayName="DailyTrackerTable" ref="A1:L57" headerRowCount="1">
  <x:tableColumns count="12">
    <x:tableColumn id="1" name="Date"/>
    <x:tableColumn id="2" name="Week"/>
    <x:tableColumn id="3" name="Day"/>
    <x:tableColumn id="4" name="Target Hours"/>
    <x:tableColumn id="5" name="Mode"/>
    <x:tableColumn id="6" name="Theory / Review"/>
    <x:tableColumn id="7" name="Lab / Practice"/>
    <x:tableColumn id="8" name="Deliverable"/>
    <x:tableColumn id="9" name="Status"/>
    <x:tableColumn id="10" name="Actual Hours"/>
    <x:tableColumn id="11" name="Completion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eeklyPlanTable" displayName="WeeklyPlanTable" ref="A1:I9" headerRowCount="1">
  <x:tableColumns count="9">
    <x:tableColumn id="1" name="Week"/>
    <x:tableColumn id="2" name="Theme"/>
    <x:tableColumn id="3" name="Main Objective"/>
    <x:tableColumn id="4" name="Source Focus"/>
    <x:tableColumn id="5" name="Practical Deliverable"/>
    <x:tableColumn id="6" name="Target Hours"/>
    <x:tableColumn id="7" name="Done Tasks"/>
    <x:tableColumn id="8" name="Total Tasks"/>
    <x:tableColumn id="9" name="Progress"/>
  </x:tableColumns>
  <x:tableStyleInfo name="TableStyleMedium2" showRowStripes="1"/>
</x:table>
</file>

<file path=xl/tables/table3.xml><?xml version="1.0" encoding="utf-8"?>
<x:table xmlns:x="http://schemas.openxmlformats.org/spreadsheetml/2006/main" id="3" name="InterviewQuestionsTable" displayName="InterviewQuestionsTable" ref="A1:E19" headerRowCount="1">
  <x:tableColumns count="5">
    <x:tableColumn id="1" name="Topic"/>
    <x:tableColumn id="2" name="Question"/>
    <x:tableColumn id="3" name="Good Answer Keywords"/>
    <x:tableColumn id="4" name="Status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esourcesTable" displayName="ResourcesTable" ref="A1:D4" headerRowCount="1">
  <x:tableColumns count="4">
    <x:tableColumn id="1" name="Source"/>
    <x:tableColumn id="2" name="How to use it"/>
    <x:tableColumn id="3" name="Important focus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c308423c4144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2ca077babc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e3f60e6d664d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4b07e9f1c249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fc03ce1ddb4cd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5" hidden="0" customWidth="1"/>
    <x:col min="9" max="9" width="34" hidden="0" customWidth="1"/>
  </x:cols>
  <x:sheetData>
    <x:row r="1" ht="28" customHeight="1">
      <x:c r="A1" s="13" t="str">
        <x:v>Embedded Linux Developer Interview Prep Tracker</x:v>
      </x:c>
      <x:c r="B1" s="13"/>
      <x:c r="C1" s="13"/>
      <x:c r="D1" s="13"/>
      <x:c r="E1" s="13"/>
      <x:c r="F1" s="13"/>
      <x:c r="G1" s="13"/>
      <x:c r="H1" s="13"/>
      <x:c r="I1" s="6"/>
      <x:c r="J1" s="6"/>
      <x:c r="K1" s="6"/>
      <x:c r="L1" s="6"/>
    </x:row>
    <x:row r="3">
      <x:c r="A3" s="18" t="str">
        <x:v>Start Date</x:v>
      </x:c>
      <x:c r="B3" s="24" t="n">
        <x:v>46167</x:v>
      </x:c>
    </x:row>
    <x:row r="4">
      <x:c r="A4" s="18" t="str">
        <x:v>Plan Length</x:v>
      </x:c>
      <x:c r="B4" t="str">
        <x:v>8 weeks / 56 days</x:v>
      </x:c>
    </x:row>
    <x:row r="5">
      <x:c r="A5" s="18" t="str">
        <x:v>Weekly Availability</x:v>
      </x:c>
      <x:c r="B5" t="str">
        <x:v>Mon-Fri 2.5h/day; Weekend 7h/day</x:v>
      </x:c>
    </x:row>
    <x:row r="6">
      <x:c r="A6" s="18" t="str">
        <x:v>Planned Hours</x:v>
      </x:c>
      <x:c r="B6" s="26" t="n">
        <x:f>SUM('Daily Tracker'!D2:D57)</x:f>
        <x:v>212</x:v>
      </x:c>
    </x:row>
    <x:row r="7">
      <x:c r="A7" s="18" t="str">
        <x:v>Actual Hours</x:v>
      </x:c>
      <x:c r="B7" s="26" t="n">
        <x:f>SUM('Daily Tracker'!J2:J57)</x:f>
        <x:v>0</x:v>
      </x:c>
    </x:row>
    <x:row r="8">
      <x:c r="A8" s="18" t="str">
        <x:v>Tasks Done</x:v>
      </x:c>
      <x:c r="B8" t="n">
        <x:f>COUNTIF('Daily Tracker'!I2:I57,"Done")</x:f>
        <x:v>0</x:v>
      </x:c>
    </x:row>
    <x:row r="9">
      <x:c r="A9" s="18" t="str">
        <x:v>Tasks In Progress</x:v>
      </x:c>
      <x:c r="B9" t="n">
        <x:f>COUNTIF('Daily Tracker'!I2:I57,"In Progress")</x:f>
        <x:v>0</x:v>
      </x:c>
    </x:row>
    <x:row r="10">
      <x:c r="A10" s="18" t="str">
        <x:v>Overall Progress</x:v>
      </x:c>
      <x:c r="B10" s="22" t="n">
        <x:f>SUM('Daily Tracker'!K2:K57)/COUNTA('Daily Tracker'!A2:A57)</x:f>
        <x:v>0</x:v>
      </x:c>
    </x:row>
    <x:row r="11">
      <x:c r="A11" s="18" t="str">
        <x:v>Current Week</x:v>
      </x:c>
      <x:c r="B11" t="n">
        <x:f>MIN(8,MAX(1,INT((TODAY()-B3)/7)+1))</x:f>
        <x:v>1</x:v>
      </x:c>
    </x:row>
    <x:row r="13" ht="38" customHeight="1">
      <x:c r="A13" s="6" t="str">
        <x:v>Week</x:v>
      </x:c>
      <x:c r="B13" s="6" t="str">
        <x:v>Theme</x:v>
      </x:c>
      <x:c r="C13" s="6" t="str">
        <x:v>Target Hours</x:v>
      </x:c>
      <x:c r="D13" s="6" t="str">
        <x:v>Done Tasks</x:v>
      </x:c>
      <x:c r="E13" s="6" t="str">
        <x:v>Total Tasks</x:v>
      </x:c>
      <x:c r="F13" s="6" t="str">
        <x:v>Progress</x:v>
      </x:c>
      <x:c r="G13" s="6" t="str">
        <x:v>Actual Hours</x:v>
      </x:c>
      <x:c r="H13" s="6" t="str">
        <x:v>Status</x:v>
      </x:c>
      <x:c r="I13" s="6" t="str">
        <x:v>Focus</x:v>
      </x:c>
    </x:row>
    <x:row r="14" ht="38" customHeight="1">
      <x:c r="A14" s="28" t="n">
        <x:v>1</x:v>
      </x:c>
      <x:c r="B14" s="28" t="str">
        <x:f>'Weekly Plan'!B2</x:f>
        <x:v>UNIX review + driver environment setup</x:v>
      </x:c>
      <x:c r="C14" s="28" t="n">
        <x:f>'Weekly Plan'!F2</x:f>
        <x:v>26.5</x:v>
      </x:c>
      <x:c r="D14" s="28" t="n">
        <x:f>'Weekly Plan'!G2</x:f>
        <x:v>0</x:v>
      </x:c>
      <x:c r="E14" s="28" t="n">
        <x:f>'Weekly Plan'!H2</x:f>
        <x:v>7</x:v>
      </x:c>
      <x:c r="F14" s="29" t="n">
        <x:f>'Weekly Plan'!I2</x:f>
        <x:v>0</x:v>
      </x:c>
      <x:c r="G14" s="28" t="n">
        <x:f>SUMIF('Daily Tracker'!$B:$B,A14,'Daily Tracker'!$J:$J)</x:f>
        <x:v>0</x:v>
      </x:c>
      <x:c r="H14" s="28" t="str">
        <x:f>IF(F14&gt;=1,"Complete",IF(F14&gt;0,"In progress","Not started"))</x:f>
        <x:v>Not started</x:v>
      </x:c>
      <x:c r="I14" s="28" t="str">
        <x:f>'Weekly Plan'!D2</x:f>
        <x:v>UNIX Ch.1–10 review; LDD Ch.1–2</x:v>
      </x:c>
    </x:row>
    <x:row r="15" ht="38" customHeight="1">
      <x:c r="A15" s="28" t="n">
        <x:v>2</x:v>
      </x:c>
      <x:c r="B15" s="28" t="str">
        <x:f>'Weekly Plan'!B3</x:f>
        <x:v>Character drivers basics</x:v>
      </x:c>
      <x:c r="C15" s="28" t="n">
        <x:f>'Weekly Plan'!F3</x:f>
        <x:v>26.5</x:v>
      </x:c>
      <x:c r="D15" s="28" t="n">
        <x:f>'Weekly Plan'!G3</x:f>
        <x:v>0</x:v>
      </x:c>
      <x:c r="E15" s="28" t="n">
        <x:f>'Weekly Plan'!H3</x:f>
        <x:v>7</x:v>
      </x:c>
      <x:c r="F15" s="29" t="n">
        <x:f>'Weekly Plan'!I3</x:f>
        <x:v>0</x:v>
      </x:c>
      <x:c r="G15" s="28" t="n">
        <x:f>SUMIF('Daily Tracker'!$B:$B,A15,'Daily Tracker'!$J:$J)</x:f>
        <x:v>0</x:v>
      </x:c>
      <x:c r="H15" s="28" t="str">
        <x:f>IF(F15&gt;=1,"Complete",IF(F15&gt;0,"In progress","Not started"))</x:f>
        <x:v>Not started</x:v>
      </x:c>
      <x:c r="I15" s="28" t="str">
        <x:f>'Weekly Plan'!D3</x:f>
        <x:v>LDD Ch.3–4</x:v>
      </x:c>
    </x:row>
    <x:row r="16" ht="38" customHeight="1">
      <x:c r="A16" s="28" t="n">
        <x:v>3</x:v>
      </x:c>
      <x:c r="B16" s="28" t="str">
        <x:f>'Weekly Plan'!B4</x:f>
        <x:v>ioctl, blocking I/O, poll, timers/workqueues</x:v>
      </x:c>
      <x:c r="C16" s="28" t="n">
        <x:f>'Weekly Plan'!F4</x:f>
        <x:v>26.5</x:v>
      </x:c>
      <x:c r="D16" s="28" t="n">
        <x:f>'Weekly Plan'!G4</x:f>
        <x:v>0</x:v>
      </x:c>
      <x:c r="E16" s="28" t="n">
        <x:f>'Weekly Plan'!H4</x:f>
        <x:v>7</x:v>
      </x:c>
      <x:c r="F16" s="29" t="n">
        <x:f>'Weekly Plan'!I4</x:f>
        <x:v>0</x:v>
      </x:c>
      <x:c r="G16" s="28" t="n">
        <x:f>SUMIF('Daily Tracker'!$B:$B,A16,'Daily Tracker'!$J:$J)</x:f>
        <x:v>0</x:v>
      </x:c>
      <x:c r="H16" s="28" t="str">
        <x:f>IF(F16&gt;=1,"Complete",IF(F16&gt;0,"In progress","Not started"))</x:f>
        <x:v>Not started</x:v>
      </x:c>
      <x:c r="I16" s="28" t="str">
        <x:f>'Weekly Plan'!D4</x:f>
        <x:v>LDD Ch.6–7</x:v>
      </x:c>
    </x:row>
    <x:row r="17" ht="38" customHeight="1">
      <x:c r="A17" s="28" t="n">
        <x:v>4</x:v>
      </x:c>
      <x:c r="B17" s="28" t="str">
        <x:f>'Weekly Plan'!B5</x:f>
        <x:v>Concurrency, locking, memory allocation</x:v>
      </x:c>
      <x:c r="C17" s="28" t="n">
        <x:f>'Weekly Plan'!F5</x:f>
        <x:v>26.5</x:v>
      </x:c>
      <x:c r="D17" s="28" t="n">
        <x:f>'Weekly Plan'!G5</x:f>
        <x:v>0</x:v>
      </x:c>
      <x:c r="E17" s="28" t="n">
        <x:f>'Weekly Plan'!H5</x:f>
        <x:v>7</x:v>
      </x:c>
      <x:c r="F17" s="29" t="n">
        <x:f>'Weekly Plan'!I5</x:f>
        <x:v>0</x:v>
      </x:c>
      <x:c r="G17" s="28" t="n">
        <x:f>SUMIF('Daily Tracker'!$B:$B,A17,'Daily Tracker'!$J:$J)</x:f>
        <x:v>0</x:v>
      </x:c>
      <x:c r="H17" s="28" t="str">
        <x:f>IF(F17&gt;=1,"Complete",IF(F17&gt;0,"In progress","Not started"))</x:f>
        <x:v>Not started</x:v>
      </x:c>
      <x:c r="I17" s="28" t="str">
        <x:f>'Weekly Plan'!D5</x:f>
        <x:v>LDD Ch.5, Ch.8, Ch.11</x:v>
      </x:c>
    </x:row>
    <x:row r="18" ht="38" customHeight="1">
      <x:c r="A18" s="28" t="n">
        <x:v>5</x:v>
      </x:c>
      <x:c r="B18" s="28" t="str">
        <x:f>'Weekly Plan'!B6</x:f>
        <x:v>Hardware interaction: MMIO + interrupts</x:v>
      </x:c>
      <x:c r="C18" s="28" t="n">
        <x:f>'Weekly Plan'!F6</x:f>
        <x:v>26.5</x:v>
      </x:c>
      <x:c r="D18" s="28" t="n">
        <x:f>'Weekly Plan'!G6</x:f>
        <x:v>0</x:v>
      </x:c>
      <x:c r="E18" s="28" t="n">
        <x:f>'Weekly Plan'!H6</x:f>
        <x:v>7</x:v>
      </x:c>
      <x:c r="F18" s="29" t="n">
        <x:f>'Weekly Plan'!I6</x:f>
        <x:v>0</x:v>
      </x:c>
      <x:c r="G18" s="28" t="n">
        <x:f>SUMIF('Daily Tracker'!$B:$B,A18,'Daily Tracker'!$J:$J)</x:f>
        <x:v>0</x:v>
      </x:c>
      <x:c r="H18" s="28" t="str">
        <x:f>IF(F18&gt;=1,"Complete",IF(F18&gt;0,"In progress","Not started"))</x:f>
        <x:v>Not started</x:v>
      </x:c>
      <x:c r="I18" s="28" t="str">
        <x:f>'Weekly Plan'!D6</x:f>
        <x:v>LDD Ch.9–10</x:v>
      </x:c>
    </x:row>
    <x:row r="19" ht="38" customHeight="1">
      <x:c r="A19" s="28" t="n">
        <x:v>6</x:v>
      </x:c>
      <x:c r="B19" s="28" t="str">
        <x:f>'Weekly Plan'!B7</x:f>
        <x:v>Device model, platform driver, sysfs, device tree</x:v>
      </x:c>
      <x:c r="C19" s="28" t="n">
        <x:f>'Weekly Plan'!F7</x:f>
        <x:v>26.5</x:v>
      </x:c>
      <x:c r="D19" s="28" t="n">
        <x:f>'Weekly Plan'!G7</x:f>
        <x:v>0</x:v>
      </x:c>
      <x:c r="E19" s="28" t="n">
        <x:f>'Weekly Plan'!H7</x:f>
        <x:v>7</x:v>
      </x:c>
      <x:c r="F19" s="29" t="n">
        <x:f>'Weekly Plan'!I7</x:f>
        <x:v>0</x:v>
      </x:c>
      <x:c r="G19" s="28" t="n">
        <x:f>SUMIF('Daily Tracker'!$B:$B,A19,'Daily Tracker'!$J:$J)</x:f>
        <x:v>0</x:v>
      </x:c>
      <x:c r="H19" s="28" t="str">
        <x:f>IF(F19&gt;=1,"Complete",IF(F19&gt;0,"In progress","Not started"))</x:f>
        <x:v>Not started</x:v>
      </x:c>
      <x:c r="I19" s="28" t="str">
        <x:f>'Weekly Plan'!D7</x:f>
        <x:v>LDD Ch.14 + modern device tree/platform driver docs</x:v>
      </x:c>
    </x:row>
    <x:row r="20" ht="38" customHeight="1">
      <x:c r="A20" s="28" t="n">
        <x:v>7</x:v>
      </x:c>
      <x:c r="B20" s="28" t="str">
        <x:f>'Weekly Plan'!B8</x:f>
        <x:v>DMA + buses overview: I2C/SPI/USB/PCI + block/network</x:v>
      </x:c>
      <x:c r="C20" s="28" t="n">
        <x:f>'Weekly Plan'!F8</x:f>
        <x:v>26.5</x:v>
      </x:c>
      <x:c r="D20" s="28" t="n">
        <x:f>'Weekly Plan'!G8</x:f>
        <x:v>0</x:v>
      </x:c>
      <x:c r="E20" s="28" t="n">
        <x:f>'Weekly Plan'!H8</x:f>
        <x:v>7</x:v>
      </x:c>
      <x:c r="F20" s="29" t="n">
        <x:f>'Weekly Plan'!I8</x:f>
        <x:v>0</x:v>
      </x:c>
      <x:c r="G20" s="28" t="n">
        <x:f>SUMIF('Daily Tracker'!$B:$B,A20,'Daily Tracker'!$J:$J)</x:f>
        <x:v>0</x:v>
      </x:c>
      <x:c r="H20" s="28" t="str">
        <x:f>IF(F20&gt;=1,"Complete",IF(F20&gt;0,"In progress","Not started"))</x:f>
        <x:v>Not started</x:v>
      </x:c>
      <x:c r="I20" s="28" t="str">
        <x:f>'Weekly Plan'!D8</x:f>
        <x:v>LDD Ch.12–13, Ch.15–18 overview</x:v>
      </x:c>
    </x:row>
    <x:row r="21" ht="38" customHeight="1">
      <x:c r="A21" s="28" t="n">
        <x:v>8</x:v>
      </x:c>
      <x:c r="B21" s="28" t="str">
        <x:f>'Weekly Plan'!B9</x:f>
        <x:v>Mock interview + portfolio polish</x:v>
      </x:c>
      <x:c r="C21" s="28" t="n">
        <x:f>'Weekly Plan'!F9</x:f>
        <x:v>26.5</x:v>
      </x:c>
      <x:c r="D21" s="28" t="n">
        <x:f>'Weekly Plan'!G9</x:f>
        <x:v>0</x:v>
      </x:c>
      <x:c r="E21" s="28" t="n">
        <x:f>'Weekly Plan'!H9</x:f>
        <x:v>7</x:v>
      </x:c>
      <x:c r="F21" s="29" t="n">
        <x:f>'Weekly Plan'!I9</x:f>
        <x:v>0</x:v>
      </x:c>
      <x:c r="G21" s="28" t="n">
        <x:f>SUMIF('Daily Tracker'!$B:$B,A21,'Daily Tracker'!$J:$J)</x:f>
        <x:v>0</x:v>
      </x:c>
      <x:c r="H21" s="28" t="str">
        <x:f>IF(F21&gt;=1,"Complete",IF(F21&gt;0,"In progress","Not started"))</x:f>
        <x:v>Not started</x:v>
      </x:c>
      <x:c r="I21" s="28" t="str">
        <x:f>'Weekly Plan'!D9</x:f>
        <x:v>All notes + practical projects</x:v>
      </x:c>
    </x:row>
  </x:sheetData>
  <x:mergeCells>
    <x:mergeCell ref="A1:H1"/>
  </x:mergeCells>
  <x:conditionalFormatting sqref="F14:F21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bc308423c41448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0F766E"/>
            </x14:dataBar>
          </x14:cfRule>
          <xm:sqref>F14:F21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8" hidden="0" customWidth="1"/>
    <x:col min="4" max="4" width="12" hidden="0" customWidth="1"/>
    <x:col min="5" max="5" width="14" hidden="0" customWidth="1"/>
    <x:col min="6" max="6" width="34" hidden="0" customWidth="1"/>
    <x:col min="7" max="7" width="34" hidden="0" customWidth="1"/>
    <x:col min="8" max="8" width="32" hidden="0" customWidth="1"/>
    <x:col min="9" max="9" width="14" hidden="0" customWidth="1"/>
    <x:col min="10" max="10" width="12" hidden="0" customWidth="1"/>
    <x:col min="11" max="11" width="12" hidden="0" customWidth="1"/>
    <x:col min="12" max="12" width="28" hidden="0" customWidth="1"/>
  </x:cols>
  <x:sheetData>
    <x:row r="1" ht="28" customHeight="1">
      <x:c r="A1" s="6" t="str">
        <x:v>Date</x:v>
      </x:c>
      <x:c r="B1" s="6" t="str">
        <x:v>Week</x:v>
      </x:c>
      <x:c r="C1" s="6" t="str">
        <x:v>Day</x:v>
      </x:c>
      <x:c r="D1" s="6" t="str">
        <x:v>Target Hours</x:v>
      </x:c>
      <x:c r="E1" s="6" t="str">
        <x:v>Mode</x:v>
      </x:c>
      <x:c r="F1" s="6" t="str">
        <x:v>Theory / Review</x:v>
      </x:c>
      <x:c r="G1" s="6" t="str">
        <x:v>Lab / Practice</x:v>
      </x:c>
      <x:c r="H1" s="6" t="str">
        <x:v>Deliverable</x:v>
      </x:c>
      <x:c r="I1" s="6" t="str">
        <x:v>Status</x:v>
      </x:c>
      <x:c r="J1" s="6" t="str">
        <x:v>Actual Hours</x:v>
      </x:c>
      <x:c r="K1" s="6" t="str">
        <x:v>Completion</x:v>
      </x:c>
      <x:c r="L1" s="6" t="str">
        <x:v>Notes</x:v>
      </x:c>
    </x:row>
    <x:row r="2" ht="38" customHeight="1">
      <x:c r="A2" s="32" t="n">
        <x:v>46167</x:v>
      </x:c>
      <x:c r="B2" s="28" t="n">
        <x:v>1</x:v>
      </x:c>
      <x:c r="C2" s="28" t="str">
        <x:v>Mon</x:v>
      </x:c>
      <x:c r="D2" s="33" t="n">
        <x:v>2.5</x:v>
      </x:c>
      <x:c r="E2" s="28" t="str">
        <x:v>Review</x:v>
      </x:c>
      <x:c r="F2" s="28" t="str">
        <x:v>Unix Ch.1–2: architecture, kernel/user layers, system calls</x:v>
      </x:c>
      <x:c r="G2" s="28" t="str">
        <x:v>Set up Linux VM/spare machine; install build tools/kernel headers</x:v>
      </x:c>
      <x:c r="H2" s="28" t="str">
        <x:v>Environment ready + notes: kernel architecture</x:v>
      </x:c>
      <x:c r="I2" s="28" t="str">
        <x:v>Not Started</x:v>
      </x:c>
      <x:c r="J2" s="33"/>
      <x:c r="K2" s="29" t="n">
        <x:f>IF(I2="Done",1,IF(I2="In Progress",0.5,IF(I2="Skipped",1,0)))</x:f>
        <x:v>0</x:v>
      </x:c>
      <x:c r="L2" s="28" t="str"/>
    </x:row>
    <x:row r="3" ht="38" customHeight="1">
      <x:c r="A3" s="32" t="n">
        <x:v>46168</x:v>
      </x:c>
      <x:c r="B3" s="28" t="n">
        <x:v>1</x:v>
      </x:c>
      <x:c r="C3" s="28" t="str">
        <x:v>Tue</x:v>
      </x:c>
      <x:c r="D3" s="33" t="n">
        <x:v>2.5</x:v>
      </x:c>
      <x:c r="E3" s="28" t="str">
        <x:v>Review</x:v>
      </x:c>
      <x:c r="F3" s="28" t="str">
        <x:v>Unix Ch.3–5: buffer cache, inode, file descriptor/file table/inode</x:v>
      </x:c>
      <x:c r="G3" s="28" t="str">
        <x:v>Run strace on open/read/write; map user syscall flow</x:v>
      </x:c>
      <x:c r="H3" s="28" t="str">
        <x:v>Diagram: read() path from user space to kernel</x:v>
      </x:c>
      <x:c r="I3" s="28" t="str">
        <x:v>Not Started</x:v>
      </x:c>
      <x:c r="J3" s="33"/>
      <x:c r="K3" s="29" t="n">
        <x:f>IF(I3="Done",1,IF(I3="In Progress",0.5,IF(I3="Skipped",1,0)))</x:f>
        <x:v>0</x:v>
      </x:c>
      <x:c r="L3" s="28" t="str"/>
    </x:row>
    <x:row r="4" ht="38" customHeight="1">
      <x:c r="A4" s="32" t="n">
        <x:v>46169</x:v>
      </x:c>
      <x:c r="B4" s="28" t="n">
        <x:v>1</x:v>
      </x:c>
      <x:c r="C4" s="28" t="str">
        <x:v>Wed</x:v>
      </x:c>
      <x:c r="D4" s="33" t="n">
        <x:v>2.5</x:v>
      </x:c>
      <x:c r="E4" s="28" t="str">
        <x:v>Learn</x:v>
      </x:c>
      <x:c r="F4" s="28" t="str">
        <x:v>LDD Ch.1: device driver role, mechanism vs policy, char/block/network</x:v>
      </x:c>
      <x:c r="G4" s="28" t="str">
        <x:v>Explore /dev, /proc/devices, /sys/devices</x:v>
      </x:c>
      <x:c r="H4" s="28" t="str">
        <x:v>Notes: driver classes and /dev vs /sys</x:v>
      </x:c>
      <x:c r="I4" s="28" t="str">
        <x:v>Not Started</x:v>
      </x:c>
      <x:c r="J4" s="33"/>
      <x:c r="K4" s="29" t="n">
        <x:f>IF(I4="Done",1,IF(I4="In Progress",0.5,IF(I4="Skipped",1,0)))</x:f>
        <x:v>0</x:v>
      </x:c>
      <x:c r="L4" s="28" t="str"/>
    </x:row>
    <x:row r="5" ht="38" customHeight="1">
      <x:c r="A5" s="32" t="n">
        <x:v>46170</x:v>
      </x:c>
      <x:c r="B5" s="28" t="n">
        <x:v>1</x:v>
      </x:c>
      <x:c r="C5" s="28" t="str">
        <x:v>Thu</x:v>
      </x:c>
      <x:c r="D5" s="33" t="n">
        <x:v>2.5</x:v>
      </x:c>
      <x:c r="E5" s="28" t="str">
        <x:v>Learn</x:v>
      </x:c>
      <x:c r="F5" s="28" t="str">
        <x:v>LDD Ch.2: modules, init/exit, module params, symbol table</x:v>
      </x:c>
      <x:c r="G5" s="28" t="str">
        <x:v>Build hello-world module; insmod/rmmod/modinfo/dmesg</x:v>
      </x:c>
      <x:c r="H5" s="28" t="str">
        <x:v>Working hello kernel module</x:v>
      </x:c>
      <x:c r="I5" s="28" t="str">
        <x:v>Not Started</x:v>
      </x:c>
      <x:c r="J5" s="33"/>
      <x:c r="K5" s="29" t="n">
        <x:f>IF(I5="Done",1,IF(I5="In Progress",0.5,IF(I5="Skipped",1,0)))</x:f>
        <x:v>0</x:v>
      </x:c>
      <x:c r="L5" s="28" t="str"/>
    </x:row>
    <x:row r="6" ht="38" customHeight="1">
      <x:c r="A6" s="32" t="n">
        <x:v>46171</x:v>
      </x:c>
      <x:c r="B6" s="28" t="n">
        <x:v>1</x:v>
      </x:c>
      <x:c r="C6" s="28" t="str">
        <x:v>Fri</x:v>
      </x:c>
      <x:c r="D6" s="33" t="n">
        <x:v>2.5</x:v>
      </x:c>
      <x:c r="E6" s="28" t="str">
        <x:v>Consolidate</x:v>
      </x:c>
      <x:c r="F6" s="28" t="str">
        <x:v>Review Week 1 key concepts</x:v>
      </x:c>
      <x:c r="G6" s="28" t="str">
        <x:v>Write 10 interview Q&amp;A; clean notes</x:v>
      </x:c>
      <x:c r="H6" s="28" t="str">
        <x:v>Week 1 Q&amp;A ready</x:v>
      </x:c>
      <x:c r="I6" s="28" t="str">
        <x:v>Not Started</x:v>
      </x:c>
      <x:c r="J6" s="33"/>
      <x:c r="K6" s="29" t="n">
        <x:f>IF(I6="Done",1,IF(I6="In Progress",0.5,IF(I6="Skipped",1,0)))</x:f>
        <x:v>0</x:v>
      </x:c>
      <x:c r="L6" s="28" t="str"/>
    </x:row>
    <x:row r="7" ht="38" customHeight="1">
      <x:c r="A7" s="32" t="n">
        <x:v>46172</x:v>
      </x:c>
      <x:c r="B7" s="28" t="n">
        <x:v>1</x:v>
      </x:c>
      <x:c r="C7" s="28" t="str">
        <x:v>Sat</x:v>
      </x:c>
      <x:c r="D7" s="33" t="n">
        <x:v>7</x:v>
      </x:c>
      <x:c r="E7" s="28" t="str">
        <x:v>Deep lab</x:v>
      </x:c>
      <x:c r="F7" s="28" t="str">
        <x:v>Re-read weak parts from Unix/LDD Ch.1–2</x:v>
      </x:c>
      <x:c r="G7" s="28" t="str">
        <x:v>Rebuild module from scratch without copying; test logs</x:v>
      </x:c>
      <x:c r="H7" s="28" t="str">
        <x:v>Weekend lab report</x:v>
      </x:c>
      <x:c r="I7" s="28" t="str">
        <x:v>Not Started</x:v>
      </x:c>
      <x:c r="J7" s="33"/>
      <x:c r="K7" s="29" t="n">
        <x:f>IF(I7="Done",1,IF(I7="In Progress",0.5,IF(I7="Skipped",1,0)))</x:f>
        <x:v>0</x:v>
      </x:c>
      <x:c r="L7" s="28" t="str"/>
    </x:row>
    <x:row r="8" ht="38" customHeight="1">
      <x:c r="A8" s="32" t="n">
        <x:v>46173</x:v>
      </x:c>
      <x:c r="B8" s="28" t="n">
        <x:v>1</x:v>
      </x:c>
      <x:c r="C8" s="28" t="str">
        <x:v>Sun</x:v>
      </x:c>
      <x:c r="D8" s="33" t="n">
        <x:v>7</x:v>
      </x:c>
      <x:c r="E8" s="28" t="str">
        <x:v>Mock</x:v>
      </x:c>
      <x:c r="F8" s="28" t="str">
        <x:v>Explain kernel architecture aloud</x:v>
      </x:c>
      <x:c r="G8" s="28" t="str">
        <x:v>Record/self-check 15-min mock interview</x:v>
      </x:c>
      <x:c r="H8" s="28" t="str">
        <x:v>Confidence score + fixes list</x:v>
      </x:c>
      <x:c r="I8" s="28" t="str">
        <x:v>Not Started</x:v>
      </x:c>
      <x:c r="J8" s="33"/>
      <x:c r="K8" s="29" t="n">
        <x:f>IF(I8="Done",1,IF(I8="In Progress",0.5,IF(I8="Skipped",1,0)))</x:f>
        <x:v>0</x:v>
      </x:c>
      <x:c r="L8" s="28" t="str"/>
    </x:row>
    <x:row r="9" ht="38" customHeight="1">
      <x:c r="A9" s="32" t="n">
        <x:v>46174</x:v>
      </x:c>
      <x:c r="B9" s="28" t="n">
        <x:v>2</x:v>
      </x:c>
      <x:c r="C9" s="28" t="str">
        <x:v>Mon</x:v>
      </x:c>
      <x:c r="D9" s="33" t="n">
        <x:v>2.5</x:v>
      </x:c>
      <x:c r="E9" s="28" t="str">
        <x:v>Learn</x:v>
      </x:c>
      <x:c r="F9" s="28" t="str">
        <x:v>LDD Ch.3: char device concept, major/minor numbers</x:v>
      </x:c>
      <x:c r="G9" s="28" t="str">
        <x:v>Create skeleton char driver registration</x:v>
      </x:c>
      <x:c r="H9" s="28" t="str">
        <x:v>Char driver skeleton compiles</x:v>
      </x:c>
      <x:c r="I9" s="28" t="str">
        <x:v>Not Started</x:v>
      </x:c>
      <x:c r="J9" s="33"/>
      <x:c r="K9" s="29" t="n">
        <x:f>IF(I9="Done",1,IF(I9="In Progress",0.5,IF(I9="Skipped",1,0)))</x:f>
        <x:v>0</x:v>
      </x:c>
      <x:c r="L9" s="28" t="str"/>
    </x:row>
    <x:row r="10" ht="38" customHeight="1">
      <x:c r="A10" s="32" t="n">
        <x:v>46175</x:v>
      </x:c>
      <x:c r="B10" s="28" t="n">
        <x:v>2</x:v>
      </x:c>
      <x:c r="C10" s="28" t="str">
        <x:v>Tue</x:v>
      </x:c>
      <x:c r="D10" s="33" t="n">
        <x:v>2.5</x:v>
      </x:c>
      <x:c r="E10" s="28" t="str">
        <x:v>Code</x:v>
      </x:c>
      <x:c r="F10" s="28" t="str">
        <x:v>file_operations: open/release</x:v>
      </x:c>
      <x:c r="G10" s="28" t="str">
        <x:v>Implement open/release + printk trace</x:v>
      </x:c>
      <x:c r="H10" s="28" t="str">
        <x:v>open/release verified with test app</x:v>
      </x:c>
      <x:c r="I10" s="28" t="str">
        <x:v>Not Started</x:v>
      </x:c>
      <x:c r="J10" s="33"/>
      <x:c r="K10" s="29" t="n">
        <x:f>IF(I10="Done",1,IF(I10="In Progress",0.5,IF(I10="Skipped",1,0)))</x:f>
        <x:v>0</x:v>
      </x:c>
      <x:c r="L10" s="28" t="str"/>
    </x:row>
    <x:row r="11" ht="38" customHeight="1">
      <x:c r="A11" s="32" t="n">
        <x:v>46176</x:v>
      </x:c>
      <x:c r="B11" s="28" t="n">
        <x:v>2</x:v>
      </x:c>
      <x:c r="C11" s="28" t="str">
        <x:v>Wed</x:v>
      </x:c>
      <x:c r="D11" s="33" t="n">
        <x:v>2.5</x:v>
      </x:c>
      <x:c r="E11" s="28" t="str">
        <x:v>Code</x:v>
      </x:c>
      <x:c r="F11" s="28" t="str">
        <x:v>read/write semantics</x:v>
      </x:c>
      <x:c r="G11" s="28" t="str">
        <x:v>Implement internal buffer + read/write</x:v>
      </x:c>
      <x:c r="H11" s="28" t="str">
        <x:v>cat/echo test works</x:v>
      </x:c>
      <x:c r="I11" s="28" t="str">
        <x:v>Not Started</x:v>
      </x:c>
      <x:c r="J11" s="33"/>
      <x:c r="K11" s="29" t="n">
        <x:f>IF(I11="Done",1,IF(I11="In Progress",0.5,IF(I11="Skipped",1,0)))</x:f>
        <x:v>0</x:v>
      </x:c>
      <x:c r="L11" s="28" t="str"/>
    </x:row>
    <x:row r="12" ht="38" customHeight="1">
      <x:c r="A12" s="32" t="n">
        <x:v>46177</x:v>
      </x:c>
      <x:c r="B12" s="28" t="n">
        <x:v>2</x:v>
      </x:c>
      <x:c r="C12" s="28" t="str">
        <x:v>Thu</x:v>
      </x:c>
      <x:c r="D12" s="33" t="n">
        <x:v>2.5</x:v>
      </x:c>
      <x:c r="E12" s="28" t="str">
        <x:v>Code</x:v>
      </x:c>
      <x:c r="F12" s="28" t="str">
        <x:v>copy_to_user/copy_from_user and user pointer safety</x:v>
      </x:c>
      <x:c r="G12" s="28" t="str">
        <x:v>Add error handling; test invalid/edge cases</x:v>
      </x:c>
      <x:c r="H12" s="28" t="str">
        <x:v>Safe read/write behavior</x:v>
      </x:c>
      <x:c r="I12" s="28" t="str">
        <x:v>Not Started</x:v>
      </x:c>
      <x:c r="J12" s="33"/>
      <x:c r="K12" s="29" t="n">
        <x:f>IF(I12="Done",1,IF(I12="In Progress",0.5,IF(I12="Skipped",1,0)))</x:f>
        <x:v>0</x:v>
      </x:c>
      <x:c r="L12" s="28" t="str"/>
    </x:row>
    <x:row r="13" ht="38" customHeight="1">
      <x:c r="A13" s="32" t="n">
        <x:v>46178</x:v>
      </x:c>
      <x:c r="B13" s="28" t="n">
        <x:v>2</x:v>
      </x:c>
      <x:c r="C13" s="28" t="str">
        <x:v>Fri</x:v>
      </x:c>
      <x:c r="D13" s="33" t="n">
        <x:v>2.5</x:v>
      </x:c>
      <x:c r="E13" s="28" t="str">
        <x:v>Debug</x:v>
      </x:c>
      <x:c r="F13" s="28" t="str">
        <x:v>LDD Ch.4: printk, /proc, sysfs-style debugging concepts</x:v>
      </x:c>
      <x:c r="G13" s="28" t="str">
        <x:v>Use dmesg -w; inspect /proc/devices</x:v>
      </x:c>
      <x:c r="H13" s="28" t="str">
        <x:v>Debug checklist v1</x:v>
      </x:c>
      <x:c r="I13" s="28" t="str">
        <x:v>Not Started</x:v>
      </x:c>
      <x:c r="J13" s="33"/>
      <x:c r="K13" s="29" t="n">
        <x:f>IF(I13="Done",1,IF(I13="In Progress",0.5,IF(I13="Skipped",1,0)))</x:f>
        <x:v>0</x:v>
      </x:c>
      <x:c r="L13" s="28" t="str"/>
    </x:row>
    <x:row r="14" ht="38" customHeight="1">
      <x:c r="A14" s="32" t="n">
        <x:v>46179</x:v>
      </x:c>
      <x:c r="B14" s="28" t="n">
        <x:v>2</x:v>
      </x:c>
      <x:c r="C14" s="28" t="str">
        <x:v>Sat</x:v>
      </x:c>
      <x:c r="D14" s="33" t="n">
        <x:v>7</x:v>
      </x:c>
      <x:c r="E14" s="28" t="str">
        <x:v>Deep lab</x:v>
      </x:c>
      <x:c r="F14" s="28" t="str">
        <x:v>Review char driver flow end to end</x:v>
      </x:c>
      <x:c r="G14" s="28" t="str">
        <x:v>Write user-space C app for read/write tests</x:v>
      </x:c>
      <x:c r="H14" s="28" t="str">
        <x:v>char_test.c ready</x:v>
      </x:c>
      <x:c r="I14" s="28" t="str">
        <x:v>Not Started</x:v>
      </x:c>
      <x:c r="J14" s="33"/>
      <x:c r="K14" s="29" t="n">
        <x:f>IF(I14="Done",1,IF(I14="In Progress",0.5,IF(I14="Skipped",1,0)))</x:f>
        <x:v>0</x:v>
      </x:c>
      <x:c r="L14" s="28" t="str"/>
    </x:row>
    <x:row r="15" ht="38" customHeight="1">
      <x:c r="A15" s="32" t="n">
        <x:v>46180</x:v>
      </x:c>
      <x:c r="B15" s="28" t="n">
        <x:v>2</x:v>
      </x:c>
      <x:c r="C15" s="28" t="str">
        <x:v>Sun</x:v>
      </x:c>
      <x:c r="D15" s="33" t="n">
        <x:v>7</x:v>
      </x:c>
      <x:c r="E15" s="28" t="str">
        <x:v>Mock</x:v>
      </x:c>
      <x:c r="F15" s="28" t="str">
        <x:v>Explain what happens when cat /dev/mychardev runs</x:v>
      </x:c>
      <x:c r="G15" s="28" t="str">
        <x:v>Write 10 char-driver interview Q&amp;A</x:v>
      </x:c>
      <x:c r="H15" s="28" t="str">
        <x:v>Week 2 Q&amp;A ready</x:v>
      </x:c>
      <x:c r="I15" s="28" t="str">
        <x:v>Not Started</x:v>
      </x:c>
      <x:c r="J15" s="33"/>
      <x:c r="K15" s="29" t="n">
        <x:f>IF(I15="Done",1,IF(I15="In Progress",0.5,IF(I15="Skipped",1,0)))</x:f>
        <x:v>0</x:v>
      </x:c>
      <x:c r="L15" s="28" t="str"/>
    </x:row>
    <x:row r="16" ht="38" customHeight="1">
      <x:c r="A16" s="32" t="n">
        <x:v>46181</x:v>
      </x:c>
      <x:c r="B16" s="28" t="n">
        <x:v>3</x:v>
      </x:c>
      <x:c r="C16" s="28" t="str">
        <x:v>Mon</x:v>
      </x:c>
      <x:c r="D16" s="33" t="n">
        <x:v>2.5</x:v>
      </x:c>
      <x:c r="E16" s="28" t="str">
        <x:v>Learn</x:v>
      </x:c>
      <x:c r="F16" s="28" t="str">
        <x:v>LDD Ch.6: ioctl purpose and command design</x:v>
      </x:c>
      <x:c r="G16" s="28" t="str">
        <x:v>Add ioctl set/get config</x:v>
      </x:c>
      <x:c r="H16" s="28" t="str">
        <x:v>ioctl_test.c passes</x:v>
      </x:c>
      <x:c r="I16" s="28" t="str">
        <x:v>Not Started</x:v>
      </x:c>
      <x:c r="J16" s="33"/>
      <x:c r="K16" s="29" t="n">
        <x:f>IF(I16="Done",1,IF(I16="In Progress",0.5,IF(I16="Skipped",1,0)))</x:f>
        <x:v>0</x:v>
      </x:c>
      <x:c r="L16" s="28" t="str"/>
    </x:row>
    <x:row r="17" ht="38" customHeight="1">
      <x:c r="A17" s="32" t="n">
        <x:v>46182</x:v>
      </x:c>
      <x:c r="B17" s="28" t="n">
        <x:v>3</x:v>
      </x:c>
      <x:c r="C17" s="28" t="str">
        <x:v>Tue</x:v>
      </x:c>
      <x:c r="D17" s="33" t="n">
        <x:v>2.5</x:v>
      </x:c>
      <x:c r="E17" s="28" t="str">
        <x:v>Learn</x:v>
      </x:c>
      <x:c r="F17" s="28" t="str">
        <x:v>Blocking I/O and wait queues</x:v>
      </x:c>
      <x:c r="G17" s="28" t="str">
        <x:v>Implement blocking read when no data</x:v>
      </x:c>
      <x:c r="H17" s="28" t="str">
        <x:v>blocking_read_test.c passes</x:v>
      </x:c>
      <x:c r="I17" s="28" t="str">
        <x:v>Not Started</x:v>
      </x:c>
      <x:c r="J17" s="33"/>
      <x:c r="K17" s="29" t="n">
        <x:f>IF(I17="Done",1,IF(I17="In Progress",0.5,IF(I17="Skipped",1,0)))</x:f>
        <x:v>0</x:v>
      </x:c>
      <x:c r="L17" s="28" t="str"/>
    </x:row>
    <x:row r="18" ht="38" customHeight="1">
      <x:c r="A18" s="32" t="n">
        <x:v>46183</x:v>
      </x:c>
      <x:c r="B18" s="28" t="n">
        <x:v>3</x:v>
      </x:c>
      <x:c r="C18" s="28" t="str">
        <x:v>Wed</x:v>
      </x:c>
      <x:c r="D18" s="33" t="n">
        <x:v>2.5</x:v>
      </x:c>
      <x:c r="E18" s="28" t="str">
        <x:v>Code</x:v>
      </x:c>
      <x:c r="F18" s="28" t="str">
        <x:v>Non-blocking I/O with O_NONBLOCK</x:v>
      </x:c>
      <x:c r="G18" s="28" t="str">
        <x:v>Add non-blocking path and EAGAIN behavior</x:v>
      </x:c>
      <x:c r="H18" s="28" t="str">
        <x:v>Non-blocking test passes</x:v>
      </x:c>
      <x:c r="I18" s="28" t="str">
        <x:v>Not Started</x:v>
      </x:c>
      <x:c r="J18" s="33"/>
      <x:c r="K18" s="29" t="n">
        <x:f>IF(I18="Done",1,IF(I18="In Progress",0.5,IF(I18="Skipped",1,0)))</x:f>
        <x:v>0</x:v>
      </x:c>
      <x:c r="L18" s="28" t="str"/>
    </x:row>
    <x:row r="19" ht="38" customHeight="1">
      <x:c r="A19" s="32" t="n">
        <x:v>46184</x:v>
      </x:c>
      <x:c r="B19" s="28" t="n">
        <x:v>3</x:v>
      </x:c>
      <x:c r="C19" s="28" t="str">
        <x:v>Thu</x:v>
      </x:c>
      <x:c r="D19" s="33" t="n">
        <x:v>2.5</x:v>
      </x:c>
      <x:c r="E19" s="28" t="str">
        <x:v>Code</x:v>
      </x:c>
      <x:c r="F19" s="28" t="str">
        <x:v>poll/select support</x:v>
      </x:c>
      <x:c r="G19" s="28" t="str">
        <x:v>Implement poll(); test with poll_test.c</x:v>
      </x:c>
      <x:c r="H19" s="28" t="str">
        <x:v>poll_test.c passes</x:v>
      </x:c>
      <x:c r="I19" s="28" t="str">
        <x:v>Not Started</x:v>
      </x:c>
      <x:c r="J19" s="33"/>
      <x:c r="K19" s="29" t="n">
        <x:f>IF(I19="Done",1,IF(I19="In Progress",0.5,IF(I19="Skipped",1,0)))</x:f>
        <x:v>0</x:v>
      </x:c>
      <x:c r="L19" s="28" t="str"/>
    </x:row>
    <x:row r="20" ht="38" customHeight="1">
      <x:c r="A20" s="32" t="n">
        <x:v>46185</x:v>
      </x:c>
      <x:c r="B20" s="28" t="n">
        <x:v>3</x:v>
      </x:c>
      <x:c r="C20" s="28" t="str">
        <x:v>Fri</x:v>
      </x:c>
      <x:c r="D20" s="33" t="n">
        <x:v>2.5</x:v>
      </x:c>
      <x:c r="E20" s="28" t="str">
        <x:v>Learn</x:v>
      </x:c>
      <x:c r="F20" s="28" t="str">
        <x:v>LDD Ch.7: timers and deferred work</x:v>
      </x:c>
      <x:c r="G20" s="28" t="str">
        <x:v>Add timer or delayed work to generate data</x:v>
      </x:c>
      <x:c r="H20" s="28" t="str">
        <x:v>Timer/workqueue demo works</x:v>
      </x:c>
      <x:c r="I20" s="28" t="str">
        <x:v>Not Started</x:v>
      </x:c>
      <x:c r="J20" s="33"/>
      <x:c r="K20" s="29" t="n">
        <x:f>IF(I20="Done",1,IF(I20="In Progress",0.5,IF(I20="Skipped",1,0)))</x:f>
        <x:v>0</x:v>
      </x:c>
      <x:c r="L20" s="28" t="str"/>
    </x:row>
    <x:row r="21" ht="38" customHeight="1">
      <x:c r="A21" s="32" t="n">
        <x:v>46186</x:v>
      </x:c>
      <x:c r="B21" s="28" t="n">
        <x:v>3</x:v>
      </x:c>
      <x:c r="C21" s="28" t="str">
        <x:v>Sat</x:v>
      </x:c>
      <x:c r="D21" s="33" t="n">
        <x:v>7</x:v>
      </x:c>
      <x:c r="E21" s="28" t="str">
        <x:v>Deep lab</x:v>
      </x:c>
      <x:c r="F21" s="28" t="str">
        <x:v>Combine ioctl + poll + wait queue</x:v>
      </x:c>
      <x:c r="G21" s="28" t="str">
        <x:v>Refactor driver and test edge cases</x:v>
      </x:c>
      <x:c r="H21" s="28" t="str">
        <x:v>Advanced char driver v1</x:v>
      </x:c>
      <x:c r="I21" s="28" t="str">
        <x:v>Not Started</x:v>
      </x:c>
      <x:c r="J21" s="33"/>
      <x:c r="K21" s="29" t="n">
        <x:f>IF(I21="Done",1,IF(I21="In Progress",0.5,IF(I21="Skipped",1,0)))</x:f>
        <x:v>0</x:v>
      </x:c>
      <x:c r="L21" s="28" t="str"/>
    </x:row>
    <x:row r="22" ht="38" customHeight="1">
      <x:c r="A22" s="32" t="n">
        <x:v>46187</x:v>
      </x:c>
      <x:c r="B22" s="28" t="n">
        <x:v>3</x:v>
      </x:c>
      <x:c r="C22" s="28" t="str">
        <x:v>Sun</x:v>
      </x:c>
      <x:c r="D22" s="33" t="n">
        <x:v>7</x:v>
      </x:c>
      <x:c r="E22" s="28" t="str">
        <x:v>Mock</x:v>
      </x:c>
      <x:c r="F22" s="28" t="str">
        <x:v>Explain ioctl/wait queue/poll/timer aloud</x:v>
      </x:c>
      <x:c r="G22" s="28" t="str">
        <x:v>Write 12 interview Q&amp;A</x:v>
      </x:c>
      <x:c r="H22" s="28" t="str">
        <x:v>Week 3 Q&amp;A ready</x:v>
      </x:c>
      <x:c r="I22" s="28" t="str">
        <x:v>Not Started</x:v>
      </x:c>
      <x:c r="J22" s="33"/>
      <x:c r="K22" s="29" t="n">
        <x:f>IF(I22="Done",1,IF(I22="In Progress",0.5,IF(I22="Skipped",1,0)))</x:f>
        <x:v>0</x:v>
      </x:c>
      <x:c r="L22" s="28" t="str"/>
    </x:row>
    <x:row r="23" ht="38" customHeight="1">
      <x:c r="A23" s="32" t="n">
        <x:v>46188</x:v>
      </x:c>
      <x:c r="B23" s="28" t="n">
        <x:v>4</x:v>
      </x:c>
      <x:c r="C23" s="28" t="str">
        <x:v>Mon</x:v>
      </x:c>
      <x:c r="D23" s="33" t="n">
        <x:v>2.5</x:v>
      </x:c>
      <x:c r="E23" s="28" t="str">
        <x:v>Learn</x:v>
      </x:c>
      <x:c r="F23" s="28" t="str">
        <x:v>LDD Ch.5: race conditions and locking basics</x:v>
      </x:c>
      <x:c r="G23" s="28" t="str">
        <x:v>Create intentional race on shared buffer/counter</x:v>
      </x:c>
      <x:c r="H23" s="28" t="str">
        <x:v>Race demo notes</x:v>
      </x:c>
      <x:c r="I23" s="28" t="str">
        <x:v>Not Started</x:v>
      </x:c>
      <x:c r="J23" s="33"/>
      <x:c r="K23" s="29" t="n">
        <x:f>IF(I23="Done",1,IF(I23="In Progress",0.5,IF(I23="Skipped",1,0)))</x:f>
        <x:v>0</x:v>
      </x:c>
      <x:c r="L23" s="28" t="str"/>
    </x:row>
    <x:row r="24" ht="38" customHeight="1">
      <x:c r="A24" s="32" t="n">
        <x:v>46189</x:v>
      </x:c>
      <x:c r="B24" s="28" t="n">
        <x:v>4</x:v>
      </x:c>
      <x:c r="C24" s="28" t="str">
        <x:v>Tue</x:v>
      </x:c>
      <x:c r="D24" s="33" t="n">
        <x:v>2.5</x:v>
      </x:c>
      <x:c r="E24" s="28" t="str">
        <x:v>Code</x:v>
      </x:c>
      <x:c r="F24" s="28" t="str">
        <x:v>Mutex/semaphore for sleepable contexts</x:v>
      </x:c>
      <x:c r="G24" s="28" t="str">
        <x:v>Protect char driver buffer with mutex</x:v>
      </x:c>
      <x:c r="H24" s="28" t="str">
        <x:v>Mutex-protected driver</x:v>
      </x:c>
      <x:c r="I24" s="28" t="str">
        <x:v>Not Started</x:v>
      </x:c>
      <x:c r="J24" s="33"/>
      <x:c r="K24" s="29" t="n">
        <x:f>IF(I24="Done",1,IF(I24="In Progress",0.5,IF(I24="Skipped",1,0)))</x:f>
        <x:v>0</x:v>
      </x:c>
      <x:c r="L24" s="28" t="str"/>
    </x:row>
    <x:row r="25" ht="38" customHeight="1">
      <x:c r="A25" s="32" t="n">
        <x:v>46190</x:v>
      </x:c>
      <x:c r="B25" s="28" t="n">
        <x:v>4</x:v>
      </x:c>
      <x:c r="C25" s="28" t="str">
        <x:v>Wed</x:v>
      </x:c>
      <x:c r="D25" s="33" t="n">
        <x:v>2.5</x:v>
      </x:c>
      <x:c r="E25" s="28" t="str">
        <x:v>Code</x:v>
      </x:c>
      <x:c r="F25" s="28" t="str">
        <x:v>Spinlock and atomic context</x:v>
      </x:c>
      <x:c r="G25" s="28" t="str">
        <x:v>Add spinlock-protected counter; document constraints</x:v>
      </x:c>
      <x:c r="H25" s="28" t="str">
        <x:v>Spinlock demo notes</x:v>
      </x:c>
      <x:c r="I25" s="28" t="str">
        <x:v>Not Started</x:v>
      </x:c>
      <x:c r="J25" s="33"/>
      <x:c r="K25" s="29" t="n">
        <x:f>IF(I25="Done",1,IF(I25="In Progress",0.5,IF(I25="Skipped",1,0)))</x:f>
        <x:v>0</x:v>
      </x:c>
      <x:c r="L25" s="28" t="str"/>
    </x:row>
    <x:row r="26" ht="38" customHeight="1">
      <x:c r="A26" s="32" t="n">
        <x:v>46191</x:v>
      </x:c>
      <x:c r="B26" s="28" t="n">
        <x:v>4</x:v>
      </x:c>
      <x:c r="C26" s="28" t="str">
        <x:v>Thu</x:v>
      </x:c>
      <x:c r="D26" s="33" t="n">
        <x:v>2.5</x:v>
      </x:c>
      <x:c r="E26" s="28" t="str">
        <x:v>Learn</x:v>
      </x:c>
      <x:c r="F26" s="28" t="str">
        <x:v>LDD Ch.8: kmalloc/kzalloc/vmalloc/GFP flags</x:v>
      </x:c>
      <x:c r="G26" s="28" t="str">
        <x:v>Convert static buffer to dynamic allocation</x:v>
      </x:c>
      <x:c r="H26" s="28" t="str">
        <x:v>Memory allocation demo</x:v>
      </x:c>
      <x:c r="I26" s="28" t="str">
        <x:v>Not Started</x:v>
      </x:c>
      <x:c r="J26" s="33"/>
      <x:c r="K26" s="29" t="n">
        <x:f>IF(I26="Done",1,IF(I26="In Progress",0.5,IF(I26="Skipped",1,0)))</x:f>
        <x:v>0</x:v>
      </x:c>
      <x:c r="L26" s="28" t="str"/>
    </x:row>
    <x:row r="27" ht="38" customHeight="1">
      <x:c r="A27" s="32" t="n">
        <x:v>46192</x:v>
      </x:c>
      <x:c r="B27" s="28" t="n">
        <x:v>4</x:v>
      </x:c>
      <x:c r="C27" s="28" t="str">
        <x:v>Fri</x:v>
      </x:c>
      <x:c r="D27" s="33" t="n">
        <x:v>2.5</x:v>
      </x:c>
      <x:c r="E27" s="28" t="str">
        <x:v>Review</x:v>
      </x:c>
      <x:c r="F27" s="28" t="str">
        <x:v>LDD Ch.11: fixed-size types, lists, portability</x:v>
      </x:c>
      <x:c r="G27" s="28" t="str">
        <x:v>Use list_head or kfifo for buffer concept</x:v>
      </x:c>
      <x:c r="H27" s="28" t="str">
        <x:v>Kernel data structure notes</x:v>
      </x:c>
      <x:c r="I27" s="28" t="str">
        <x:v>Not Started</x:v>
      </x:c>
      <x:c r="J27" s="33"/>
      <x:c r="K27" s="29" t="n">
        <x:f>IF(I27="Done",1,IF(I27="In Progress",0.5,IF(I27="Skipped",1,0)))</x:f>
        <x:v>0</x:v>
      </x:c>
      <x:c r="L27" s="28" t="str"/>
    </x:row>
    <x:row r="28" ht="38" customHeight="1">
      <x:c r="A28" s="32" t="n">
        <x:v>46193</x:v>
      </x:c>
      <x:c r="B28" s="28" t="n">
        <x:v>4</x:v>
      </x:c>
      <x:c r="C28" s="28" t="str">
        <x:v>Sat</x:v>
      </x:c>
      <x:c r="D28" s="33" t="n">
        <x:v>7</x:v>
      </x:c>
      <x:c r="E28" s="28" t="str">
        <x:v>Deep lab</x:v>
      </x:c>
      <x:c r="F28" s="28" t="str">
        <x:v>Stress test concurrent reads/writes</x:v>
      </x:c>
      <x:c r="G28" s="28" t="str">
        <x:v>Run multiple user-space processes; observe logs</x:v>
      </x:c>
      <x:c r="H28" s="28" t="str">
        <x:v>Concurrency test log</x:v>
      </x:c>
      <x:c r="I28" s="28" t="str">
        <x:v>Not Started</x:v>
      </x:c>
      <x:c r="J28" s="33"/>
      <x:c r="K28" s="29" t="n">
        <x:f>IF(I28="Done",1,IF(I28="In Progress",0.5,IF(I28="Skipped",1,0)))</x:f>
        <x:v>0</x:v>
      </x:c>
      <x:c r="L28" s="28" t="str"/>
    </x:row>
    <x:row r="29" ht="38" customHeight="1">
      <x:c r="A29" s="32" t="n">
        <x:v>46194</x:v>
      </x:c>
      <x:c r="B29" s="28" t="n">
        <x:v>4</x:v>
      </x:c>
      <x:c r="C29" s="28" t="str">
        <x:v>Sun</x:v>
      </x:c>
      <x:c r="D29" s="33" t="n">
        <x:v>7</x:v>
      </x:c>
      <x:c r="E29" s="28" t="str">
        <x:v>Mock</x:v>
      </x:c>
      <x:c r="F29" s="28" t="str">
        <x:v>Explain mutex vs spinlock + GFP flags</x:v>
      </x:c>
      <x:c r="G29" s="28" t="str">
        <x:v>Write 15 interview Q&amp;A</x:v>
      </x:c>
      <x:c r="H29" s="28" t="str">
        <x:v>Week 4 Q&amp;A ready</x:v>
      </x:c>
      <x:c r="I29" s="28" t="str">
        <x:v>Not Started</x:v>
      </x:c>
      <x:c r="J29" s="33"/>
      <x:c r="K29" s="29" t="n">
        <x:f>IF(I29="Done",1,IF(I29="In Progress",0.5,IF(I29="Skipped",1,0)))</x:f>
        <x:v>0</x:v>
      </x:c>
      <x:c r="L29" s="28" t="str"/>
    </x:row>
    <x:row r="30" ht="38" customHeight="1">
      <x:c r="A30" s="32" t="n">
        <x:v>46195</x:v>
      </x:c>
      <x:c r="B30" s="28" t="n">
        <x:v>5</x:v>
      </x:c>
      <x:c r="C30" s="28" t="str">
        <x:v>Mon</x:v>
      </x:c>
      <x:c r="D30" s="33" t="n">
        <x:v>2.5</x:v>
      </x:c>
      <x:c r="E30" s="28" t="str">
        <x:v>Learn</x:v>
      </x:c>
      <x:c r="F30" s="28" t="str">
        <x:v>LDD Ch.9: I/O ports, I/O memory, MMIO concepts</x:v>
      </x:c>
      <x:c r="G30" s="28" t="str">
        <x:v>Draw memory-mapped register model</x:v>
      </x:c>
      <x:c r="H30" s="28" t="str">
        <x:v>MMIO explanation note</x:v>
      </x:c>
      <x:c r="I30" s="28" t="str">
        <x:v>Not Started</x:v>
      </x:c>
      <x:c r="J30" s="33"/>
      <x:c r="K30" s="29" t="n">
        <x:f>IF(I30="Done",1,IF(I30="In Progress",0.5,IF(I30="Skipped",1,0)))</x:f>
        <x:v>0</x:v>
      </x:c>
      <x:c r="L30" s="28" t="str"/>
    </x:row>
    <x:row r="31" ht="38" customHeight="1">
      <x:c r="A31" s="32" t="n">
        <x:v>46196</x:v>
      </x:c>
      <x:c r="B31" s="28" t="n">
        <x:v>5</x:v>
      </x:c>
      <x:c r="C31" s="28" t="str">
        <x:v>Tue</x:v>
      </x:c>
      <x:c r="D31" s="33" t="n">
        <x:v>2.5</x:v>
      </x:c>
      <x:c r="E31" s="28" t="str">
        <x:v>Code</x:v>
      </x:c>
      <x:c r="F31" s="28" t="str">
        <x:v>Register bit masks and read-modify-write</x:v>
      </x:c>
      <x:c r="G31" s="28" t="str">
        <x:v>Write pseudo register access helper code</x:v>
      </x:c>
      <x:c r="H31" s="28" t="str">
        <x:v>Register helper snippet</x:v>
      </x:c>
      <x:c r="I31" s="28" t="str">
        <x:v>Not Started</x:v>
      </x:c>
      <x:c r="J31" s="33"/>
      <x:c r="K31" s="29" t="n">
        <x:f>IF(I31="Done",1,IF(I31="In Progress",0.5,IF(I31="Skipped",1,0)))</x:f>
        <x:v>0</x:v>
      </x:c>
      <x:c r="L31" s="28" t="str"/>
    </x:row>
    <x:row r="32" ht="38" customHeight="1">
      <x:c r="A32" s="32" t="n">
        <x:v>46197</x:v>
      </x:c>
      <x:c r="B32" s="28" t="n">
        <x:v>5</x:v>
      </x:c>
      <x:c r="C32" s="28" t="str">
        <x:v>Wed</x:v>
      </x:c>
      <x:c r="D32" s="33" t="n">
        <x:v>2.5</x:v>
      </x:c>
      <x:c r="E32" s="28" t="str">
        <x:v>Learn</x:v>
      </x:c>
      <x:c r="F32" s="28" t="str">
        <x:v>LDD Ch.10: interrupt handler flow</x:v>
      </x:c>
      <x:c r="G32" s="28" t="str">
        <x:v>Study request_irq/free_irq concept</x:v>
      </x:c>
      <x:c r="H32" s="28" t="str">
        <x:v>IRQ flow diagram</x:v>
      </x:c>
      <x:c r="I32" s="28" t="str">
        <x:v>Not Started</x:v>
      </x:c>
      <x:c r="J32" s="33"/>
      <x:c r="K32" s="29" t="n">
        <x:f>IF(I32="Done",1,IF(I32="In Progress",0.5,IF(I32="Skipped",1,0)))</x:f>
        <x:v>0</x:v>
      </x:c>
      <x:c r="L32" s="28" t="str"/>
    </x:row>
    <x:row r="33" ht="38" customHeight="1">
      <x:c r="A33" s="32" t="n">
        <x:v>46198</x:v>
      </x:c>
      <x:c r="B33" s="28" t="n">
        <x:v>5</x:v>
      </x:c>
      <x:c r="C33" s="28" t="str">
        <x:v>Thu</x:v>
      </x:c>
      <x:c r="D33" s="33" t="n">
        <x:v>2.5</x:v>
      </x:c>
      <x:c r="E33" s="28" t="str">
        <x:v>Code</x:v>
      </x:c>
      <x:c r="F33" s="28" t="str">
        <x:v>Top half vs bottom half</x:v>
      </x:c>
      <x:c r="G33" s="28" t="str">
        <x:v>Use timer to simulate IRQ event; schedule workqueue</x:v>
      </x:c>
      <x:c r="H33" s="28" t="str">
        <x:v>Simulated IRQ + workqueue demo</x:v>
      </x:c>
      <x:c r="I33" s="28" t="str">
        <x:v>Not Started</x:v>
      </x:c>
      <x:c r="J33" s="33"/>
      <x:c r="K33" s="29" t="n">
        <x:f>IF(I33="Done",1,IF(I33="In Progress",0.5,IF(I33="Skipped",1,0)))</x:f>
        <x:v>0</x:v>
      </x:c>
      <x:c r="L33" s="28" t="str"/>
    </x:row>
    <x:row r="34" ht="38" customHeight="1">
      <x:c r="A34" s="32" t="n">
        <x:v>46199</x:v>
      </x:c>
      <x:c r="B34" s="28" t="n">
        <x:v>5</x:v>
      </x:c>
      <x:c r="C34" s="28" t="str">
        <x:v>Fri</x:v>
      </x:c>
      <x:c r="D34" s="33" t="n">
        <x:v>2.5</x:v>
      </x:c>
      <x:c r="E34" s="28" t="str">
        <x:v>Review</x:v>
      </x:c>
      <x:c r="F34" s="28" t="str">
        <x:v>Interrupt sharing and interrupt-driven I/O</x:v>
      </x:c>
      <x:c r="G34" s="28" t="str">
        <x:v>Write do/don't list for IRQ handler</x:v>
      </x:c>
      <x:c r="H34" s="28" t="str">
        <x:v>IRQ checklist</x:v>
      </x:c>
      <x:c r="I34" s="28" t="str">
        <x:v>Not Started</x:v>
      </x:c>
      <x:c r="J34" s="33"/>
      <x:c r="K34" s="29" t="n">
        <x:f>IF(I34="Done",1,IF(I34="In Progress",0.5,IF(I34="Skipped",1,0)))</x:f>
        <x:v>0</x:v>
      </x:c>
      <x:c r="L34" s="28" t="str"/>
    </x:row>
    <x:row r="35" ht="38" customHeight="1">
      <x:c r="A35" s="32" t="n">
        <x:v>46200</x:v>
      </x:c>
      <x:c r="B35" s="28" t="n">
        <x:v>5</x:v>
      </x:c>
      <x:c r="C35" s="28" t="str">
        <x:v>Sat</x:v>
      </x:c>
      <x:c r="D35" s="33" t="n">
        <x:v>7</x:v>
      </x:c>
      <x:c r="E35" s="28" t="str">
        <x:v>Deep lab</x:v>
      </x:c>
      <x:c r="F35" s="28" t="str">
        <x:v>Combine simulated hardware event with char driver</x:v>
      </x:c>
      <x:c r="G35" s="28" t="str">
        <x:v>Wake wait queue from simulated interrupt</x:v>
      </x:c>
      <x:c r="H35" s="28" t="str">
        <x:v>Interrupt-driven char driver behavior</x:v>
      </x:c>
      <x:c r="I35" s="28" t="str">
        <x:v>Not Started</x:v>
      </x:c>
      <x:c r="J35" s="33"/>
      <x:c r="K35" s="29" t="n">
        <x:f>IF(I35="Done",1,IF(I35="In Progress",0.5,IF(I35="Skipped",1,0)))</x:f>
        <x:v>0</x:v>
      </x:c>
      <x:c r="L35" s="28" t="str"/>
    </x:row>
    <x:row r="36" ht="38" customHeight="1">
      <x:c r="A36" s="32" t="n">
        <x:v>46201</x:v>
      </x:c>
      <x:c r="B36" s="28" t="n">
        <x:v>5</x:v>
      </x:c>
      <x:c r="C36" s="28" t="str">
        <x:v>Sun</x:v>
      </x:c>
      <x:c r="D36" s="33" t="n">
        <x:v>7</x:v>
      </x:c>
      <x:c r="E36" s="28" t="str">
        <x:v>Mock</x:v>
      </x:c>
      <x:c r="F36" s="28" t="str">
        <x:v>Explain MMIO, interrupts, bottom halves</x:v>
      </x:c>
      <x:c r="G36" s="28" t="str">
        <x:v>Write 12 interview Q&amp;A</x:v>
      </x:c>
      <x:c r="H36" s="28" t="str">
        <x:v>Week 5 Q&amp;A ready</x:v>
      </x:c>
      <x:c r="I36" s="28" t="str">
        <x:v>Not Started</x:v>
      </x:c>
      <x:c r="J36" s="33"/>
      <x:c r="K36" s="29" t="n">
        <x:f>IF(I36="Done",1,IF(I36="In Progress",0.5,IF(I36="Skipped",1,0)))</x:f>
        <x:v>0</x:v>
      </x:c>
      <x:c r="L36" s="28" t="str"/>
    </x:row>
    <x:row r="37" ht="38" customHeight="1">
      <x:c r="A37" s="32" t="n">
        <x:v>46202</x:v>
      </x:c>
      <x:c r="B37" s="28" t="n">
        <x:v>6</x:v>
      </x:c>
      <x:c r="C37" s="28" t="str">
        <x:v>Mon</x:v>
      </x:c>
      <x:c r="D37" s="33" t="n">
        <x:v>2.5</x:v>
      </x:c>
      <x:c r="E37" s="28" t="str">
        <x:v>Learn</x:v>
      </x:c>
      <x:c r="F37" s="28" t="str">
        <x:v>LDD Ch.14: device model overview, bus/device/driver/class</x:v>
      </x:c>
      <x:c r="G37" s="28" t="str">
        <x:v>Explore /sys/bus, /sys/class, udev</x:v>
      </x:c>
      <x:c r="H37" s="28" t="str">
        <x:v>Device model notes</x:v>
      </x:c>
      <x:c r="I37" s="28" t="str">
        <x:v>Not Started</x:v>
      </x:c>
      <x:c r="J37" s="33"/>
      <x:c r="K37" s="29" t="n">
        <x:f>IF(I37="Done",1,IF(I37="In Progress",0.5,IF(I37="Skipped",1,0)))</x:f>
        <x:v>0</x:v>
      </x:c>
      <x:c r="L37" s="28" t="str"/>
    </x:row>
    <x:row r="38" ht="38" customHeight="1">
      <x:c r="A38" s="32" t="n">
        <x:v>46203</x:v>
      </x:c>
      <x:c r="B38" s="28" t="n">
        <x:v>6</x:v>
      </x:c>
      <x:c r="C38" s="28" t="str">
        <x:v>Tue</x:v>
      </x:c>
      <x:c r="D38" s="33" t="n">
        <x:v>2.5</x:v>
      </x:c>
      <x:c r="E38" s="28" t="str">
        <x:v>Code</x:v>
      </x:c>
      <x:c r="F38" s="28" t="str">
        <x:v>platform_driver structure and probe/remove</x:v>
      </x:c>
      <x:c r="G38" s="28" t="str">
        <x:v>Create mock platform driver skeleton</x:v>
      </x:c>
      <x:c r="H38" s="28" t="str">
        <x:v>probe/remove logs</x:v>
      </x:c>
      <x:c r="I38" s="28" t="str">
        <x:v>Not Started</x:v>
      </x:c>
      <x:c r="J38" s="33"/>
      <x:c r="K38" s="29" t="n">
        <x:f>IF(I38="Done",1,IF(I38="In Progress",0.5,IF(I38="Skipped",1,0)))</x:f>
        <x:v>0</x:v>
      </x:c>
      <x:c r="L38" s="28" t="str"/>
    </x:row>
    <x:row r="39" ht="38" customHeight="1">
      <x:c r="A39" s="32" t="n">
        <x:v>46204</x:v>
      </x:c>
      <x:c r="B39" s="28" t="n">
        <x:v>6</x:v>
      </x:c>
      <x:c r="C39" s="28" t="str">
        <x:v>Wed</x:v>
      </x:c>
      <x:c r="D39" s="33" t="n">
        <x:v>2.5</x:v>
      </x:c>
      <x:c r="E39" s="28" t="str">
        <x:v>Learn</x:v>
      </x:c>
      <x:c r="F39" s="28" t="str">
        <x:v>Device tree basics: compatible, reg, interrupts, gpios</x:v>
      </x:c>
      <x:c r="G39" s="28" t="str">
        <x:v>Write sample DTS node</x:v>
      </x:c>
      <x:c r="H39" s="28" t="str">
        <x:v>DTS snippet ready</x:v>
      </x:c>
      <x:c r="I39" s="28" t="str">
        <x:v>Not Started</x:v>
      </x:c>
      <x:c r="J39" s="33"/>
      <x:c r="K39" s="29" t="n">
        <x:f>IF(I39="Done",1,IF(I39="In Progress",0.5,IF(I39="Skipped",1,0)))</x:f>
        <x:v>0</x:v>
      </x:c>
      <x:c r="L39" s="28" t="str"/>
    </x:row>
    <x:row r="40" ht="38" customHeight="1">
      <x:c r="A40" s="32" t="n">
        <x:v>46205</x:v>
      </x:c>
      <x:c r="B40" s="28" t="n">
        <x:v>6</x:v>
      </x:c>
      <x:c r="C40" s="28" t="str">
        <x:v>Thu</x:v>
      </x:c>
      <x:c r="D40" s="33" t="n">
        <x:v>2.5</x:v>
      </x:c>
      <x:c r="E40" s="28" t="str">
        <x:v>Code</x:v>
      </x:c>
      <x:c r="F40" s="28" t="str">
        <x:v>Match device tree compatible string</x:v>
      </x:c>
      <x:c r="G40" s="28" t="str">
        <x:v>Parse one property in probe</x:v>
      </x:c>
      <x:c r="H40" s="28" t="str">
        <x:v>DT property parsing demo</x:v>
      </x:c>
      <x:c r="I40" s="28" t="str">
        <x:v>Not Started</x:v>
      </x:c>
      <x:c r="J40" s="33"/>
      <x:c r="K40" s="29" t="n">
        <x:f>IF(I40="Done",1,IF(I40="In Progress",0.5,IF(I40="Skipped",1,0)))</x:f>
        <x:v>0</x:v>
      </x:c>
      <x:c r="L40" s="28" t="str"/>
    </x:row>
    <x:row r="41" ht="38" customHeight="1">
      <x:c r="A41" s="32" t="n">
        <x:v>46206</x:v>
      </x:c>
      <x:c r="B41" s="28" t="n">
        <x:v>6</x:v>
      </x:c>
      <x:c r="C41" s="28" t="str">
        <x:v>Fri</x:v>
      </x:c>
      <x:c r="D41" s="33" t="n">
        <x:v>2.5</x:v>
      </x:c>
      <x:c r="E41" s="28" t="str">
        <x:v>Code</x:v>
      </x:c>
      <x:c r="F41" s="28" t="str">
        <x:v>sysfs attribute basics</x:v>
      </x:c>
      <x:c r="G41" s="28" t="str">
        <x:v>Expose read-only or read/write sysfs attribute</x:v>
      </x:c>
      <x:c r="H41" s="28" t="str">
        <x:v>sysfs demo works</x:v>
      </x:c>
      <x:c r="I41" s="28" t="str">
        <x:v>Not Started</x:v>
      </x:c>
      <x:c r="J41" s="33"/>
      <x:c r="K41" s="29" t="n">
        <x:f>IF(I41="Done",1,IF(I41="In Progress",0.5,IF(I41="Skipped",1,0)))</x:f>
        <x:v>0</x:v>
      </x:c>
      <x:c r="L41" s="28" t="str"/>
    </x:row>
    <x:row r="42" ht="38" customHeight="1">
      <x:c r="A42" s="32" t="n">
        <x:v>46207</x:v>
      </x:c>
      <x:c r="B42" s="28" t="n">
        <x:v>6</x:v>
      </x:c>
      <x:c r="C42" s="28" t="str">
        <x:v>Sat</x:v>
      </x:c>
      <x:c r="D42" s="33" t="n">
        <x:v>7</x:v>
      </x:c>
      <x:c r="E42" s="28" t="str">
        <x:v>Deep lab</x:v>
      </x:c>
      <x:c r="F42" s="28" t="str">
        <x:v>Integrate platform driver notes with char-device knowledge</x:v>
      </x:c>
      <x:c r="G42" s="28" t="str">
        <x:v>Refactor project folder + README</x:v>
      </x:c>
      <x:c r="H42" s="28" t="str">
        <x:v>Platform driver mini-project</x:v>
      </x:c>
      <x:c r="I42" s="28" t="str">
        <x:v>Not Started</x:v>
      </x:c>
      <x:c r="J42" s="33"/>
      <x:c r="K42" s="29" t="n">
        <x:f>IF(I42="Done",1,IF(I42="In Progress",0.5,IF(I42="Skipped",1,0)))</x:f>
        <x:v>0</x:v>
      </x:c>
      <x:c r="L42" s="28" t="str"/>
    </x:row>
    <x:row r="43" ht="38" customHeight="1">
      <x:c r="A43" s="32" t="n">
        <x:v>46208</x:v>
      </x:c>
      <x:c r="B43" s="28" t="n">
        <x:v>6</x:v>
      </x:c>
      <x:c r="C43" s="28" t="str">
        <x:v>Sun</x:v>
      </x:c>
      <x:c r="D43" s="33" t="n">
        <x:v>7</x:v>
      </x:c>
      <x:c r="E43" s="28" t="str">
        <x:v>Mock</x:v>
      </x:c>
      <x:c r="F43" s="28" t="str">
        <x:v>Explain probe flow and device tree matching</x:v>
      </x:c>
      <x:c r="G43" s="28" t="str">
        <x:v>Write 15 interview Q&amp;A</x:v>
      </x:c>
      <x:c r="H43" s="28" t="str">
        <x:v>Week 6 Q&amp;A ready</x:v>
      </x:c>
      <x:c r="I43" s="28" t="str">
        <x:v>Not Started</x:v>
      </x:c>
      <x:c r="J43" s="33"/>
      <x:c r="K43" s="29" t="n">
        <x:f>IF(I43="Done",1,IF(I43="In Progress",0.5,IF(I43="Skipped",1,0)))</x:f>
        <x:v>0</x:v>
      </x:c>
      <x:c r="L43" s="28" t="str"/>
    </x:row>
    <x:row r="44" ht="38" customHeight="1">
      <x:c r="A44" s="32" t="n">
        <x:v>46209</x:v>
      </x:c>
      <x:c r="B44" s="28" t="n">
        <x:v>7</x:v>
      </x:c>
      <x:c r="C44" s="28" t="str">
        <x:v>Mon</x:v>
      </x:c>
      <x:c r="D44" s="33" t="n">
        <x:v>2.5</x:v>
      </x:c>
      <x:c r="E44" s="28" t="str">
        <x:v>Learn</x:v>
      </x:c>
      <x:c r="F44" s="28" t="str">
        <x:v>LDD Ch.15: mmap and DMA concepts</x:v>
      </x:c>
      <x:c r="G44" s="28" t="str">
        <x:v>Write notes: coherent vs streaming DMA, cache coherency</x:v>
      </x:c>
      <x:c r="H44" s="28" t="str">
        <x:v>DMA concept sheet</x:v>
      </x:c>
      <x:c r="I44" s="28" t="str">
        <x:v>Not Started</x:v>
      </x:c>
      <x:c r="J44" s="33"/>
      <x:c r="K44" s="29" t="n">
        <x:f>IF(I44="Done",1,IF(I44="In Progress",0.5,IF(I44="Skipped",1,0)))</x:f>
        <x:v>0</x:v>
      </x:c>
      <x:c r="L44" s="28" t="str"/>
    </x:row>
    <x:row r="45" ht="38" customHeight="1">
      <x:c r="A45" s="32" t="n">
        <x:v>46210</x:v>
      </x:c>
      <x:c r="B45" s="28" t="n">
        <x:v>7</x:v>
      </x:c>
      <x:c r="C45" s="28" t="str">
        <x:v>Tue</x:v>
      </x:c>
      <x:c r="D45" s="33" t="n">
        <x:v>2.5</x:v>
      </x:c>
      <x:c r="E45" s="28" t="str">
        <x:v>Learn</x:v>
      </x:c>
      <x:c r="F45" s="28" t="str">
        <x:v>I2C/SPI embedded sensor driver flow</x:v>
      </x:c>
      <x:c r="G45" s="28" t="str">
        <x:v>Draft pseudo probe/read-register flow</x:v>
      </x:c>
      <x:c r="H45" s="28" t="str">
        <x:v>I2C/SPI driver flow note</x:v>
      </x:c>
      <x:c r="I45" s="28" t="str">
        <x:v>Not Started</x:v>
      </x:c>
      <x:c r="J45" s="33"/>
      <x:c r="K45" s="29" t="n">
        <x:f>IF(I45="Done",1,IF(I45="In Progress",0.5,IF(I45="Skipped",1,0)))</x:f>
        <x:v>0</x:v>
      </x:c>
      <x:c r="L45" s="28" t="str"/>
    </x:row>
    <x:row r="46" ht="38" customHeight="1">
      <x:c r="A46" s="32" t="n">
        <x:v>46211</x:v>
      </x:c>
      <x:c r="B46" s="28" t="n">
        <x:v>7</x:v>
      </x:c>
      <x:c r="C46" s="28" t="str">
        <x:v>Wed</x:v>
      </x:c>
      <x:c r="D46" s="33" t="n">
        <x:v>2.5</x:v>
      </x:c>
      <x:c r="E46" s="28" t="str">
        <x:v>Learn</x:v>
      </x:c>
      <x:c r="F46" s="28" t="str">
        <x:v>LDD Ch.13: USB basics, endpoints, URBs</x:v>
      </x:c>
      <x:c r="G46" s="28" t="str">
        <x:v>Summarize control/bulk/interrupt/isochronous</x:v>
      </x:c>
      <x:c r="H46" s="28" t="str">
        <x:v>USB overview note</x:v>
      </x:c>
      <x:c r="I46" s="28" t="str">
        <x:v>Not Started</x:v>
      </x:c>
      <x:c r="J46" s="33"/>
      <x:c r="K46" s="29" t="n">
        <x:f>IF(I46="Done",1,IF(I46="In Progress",0.5,IF(I46="Skipped",1,0)))</x:f>
        <x:v>0</x:v>
      </x:c>
      <x:c r="L46" s="28" t="str"/>
    </x:row>
    <x:row r="47" ht="38" customHeight="1">
      <x:c r="A47" s="32" t="n">
        <x:v>46212</x:v>
      </x:c>
      <x:c r="B47" s="28" t="n">
        <x:v>7</x:v>
      </x:c>
      <x:c r="C47" s="28" t="str">
        <x:v>Thu</x:v>
      </x:c>
      <x:c r="D47" s="33" t="n">
        <x:v>2.5</x:v>
      </x:c>
      <x:c r="E47" s="28" t="str">
        <x:v>Learn</x:v>
      </x:c>
      <x:c r="F47" s="28" t="str">
        <x:v>LDD Ch.12 PCI overview / platform comparison</x:v>
      </x:c>
      <x:c r="G47" s="28" t="str">
        <x:v>Summarize enumeration/resources concept</x:v>
      </x:c>
      <x:c r="H47" s="28" t="str">
        <x:v>PCI/resource notes</x:v>
      </x:c>
      <x:c r="I47" s="28" t="str">
        <x:v>Not Started</x:v>
      </x:c>
      <x:c r="J47" s="33"/>
      <x:c r="K47" s="29" t="n">
        <x:f>IF(I47="Done",1,IF(I47="In Progress",0.5,IF(I47="Skipped",1,0)))</x:f>
        <x:v>0</x:v>
      </x:c>
      <x:c r="L47" s="28" t="str"/>
    </x:row>
    <x:row r="48" ht="38" customHeight="1">
      <x:c r="A48" s="32" t="n">
        <x:v>46213</x:v>
      </x:c>
      <x:c r="B48" s="28" t="n">
        <x:v>7</x:v>
      </x:c>
      <x:c r="C48" s="28" t="str">
        <x:v>Fri</x:v>
      </x:c>
      <x:c r="D48" s="33" t="n">
        <x:v>2.5</x:v>
      </x:c>
      <x:c r="E48" s="28" t="str">
        <x:v>Skim</x:v>
      </x:c>
      <x:c r="F48" s="28" t="str">
        <x:v>LDD Ch.16–18: block, network, TTY overview</x:v>
      </x:c>
      <x:c r="G48" s="28" t="str">
        <x:v>Make char/block/network comparison table</x:v>
      </x:c>
      <x:c r="H48" s="28" t="str">
        <x:v>Driver-class comparison table</x:v>
      </x:c>
      <x:c r="I48" s="28" t="str">
        <x:v>Not Started</x:v>
      </x:c>
      <x:c r="J48" s="33"/>
      <x:c r="K48" s="29" t="n">
        <x:f>IF(I48="Done",1,IF(I48="In Progress",0.5,IF(I48="Skipped",1,0)))</x:f>
        <x:v>0</x:v>
      </x:c>
      <x:c r="L48" s="28" t="str"/>
    </x:row>
    <x:row r="49" ht="38" customHeight="1">
      <x:c r="A49" s="32" t="n">
        <x:v>46214</x:v>
      </x:c>
      <x:c r="B49" s="28" t="n">
        <x:v>7</x:v>
      </x:c>
      <x:c r="C49" s="28" t="str">
        <x:v>Sat</x:v>
      </x:c>
      <x:c r="D49" s="33" t="n">
        <x:v>7</x:v>
      </x:c>
      <x:c r="E49" s="28" t="str">
        <x:v>Deep review</x:v>
      </x:c>
      <x:c r="F49" s="28" t="str">
        <x:v>Debug scenario: device not probing</x:v>
      </x:c>
      <x:c r="G49" s="28" t="str">
        <x:v>Build troubleshooting checklist: DT, clocks, IRQ, pinctrl, logs</x:v>
      </x:c>
      <x:c r="H49" s="28" t="str">
        <x:v>Device-not-probing checklist</x:v>
      </x:c>
      <x:c r="I49" s="28" t="str">
        <x:v>Not Started</x:v>
      </x:c>
      <x:c r="J49" s="33"/>
      <x:c r="K49" s="29" t="n">
        <x:f>IF(I49="Done",1,IF(I49="In Progress",0.5,IF(I49="Skipped",1,0)))</x:f>
        <x:v>0</x:v>
      </x:c>
      <x:c r="L49" s="28" t="str"/>
    </x:row>
    <x:row r="50" ht="38" customHeight="1">
      <x:c r="A50" s="32" t="n">
        <x:v>46215</x:v>
      </x:c>
      <x:c r="B50" s="28" t="n">
        <x:v>7</x:v>
      </x:c>
      <x:c r="C50" s="28" t="str">
        <x:v>Sun</x:v>
      </x:c>
      <x:c r="D50" s="33" t="n">
        <x:v>7</x:v>
      </x:c>
      <x:c r="E50" s="28" t="str">
        <x:v>Mock</x:v>
      </x:c>
      <x:c r="F50" s="28" t="str">
        <x:v>Answer bus/DMA/debug scenario questions</x:v>
      </x:c>
      <x:c r="G50" s="28" t="str">
        <x:v>Write 20 Q&amp;A</x:v>
      </x:c>
      <x:c r="H50" s="28" t="str">
        <x:v>Week 7 Q&amp;A ready</x:v>
      </x:c>
      <x:c r="I50" s="28" t="str">
        <x:v>Not Started</x:v>
      </x:c>
      <x:c r="J50" s="33"/>
      <x:c r="K50" s="29" t="n">
        <x:f>IF(I50="Done",1,IF(I50="In Progress",0.5,IF(I50="Skipped",1,0)))</x:f>
        <x:v>0</x:v>
      </x:c>
      <x:c r="L50" s="28" t="str"/>
    </x:row>
    <x:row r="51" ht="38" customHeight="1">
      <x:c r="A51" s="32" t="n">
        <x:v>46216</x:v>
      </x:c>
      <x:c r="B51" s="28" t="n">
        <x:v>8</x:v>
      </x:c>
      <x:c r="C51" s="28" t="str">
        <x:v>Mon</x:v>
      </x:c>
      <x:c r="D51" s="33" t="n">
        <x:v>2.5</x:v>
      </x:c>
      <x:c r="E51" s="28" t="str">
        <x:v>Review</x:v>
      </x:c>
      <x:c r="F51" s="28" t="str">
        <x:v>Review all notes: modules, char drivers, ioctl, locking</x:v>
      </x:c>
      <x:c r="G51" s="28" t="str">
        <x:v>Fix weak code areas</x:v>
      </x:c>
      <x:c r="H51" s="28" t="str">
        <x:v>Final notes v1</x:v>
      </x:c>
      <x:c r="I51" s="28" t="str">
        <x:v>Not Started</x:v>
      </x:c>
      <x:c r="J51" s="33"/>
      <x:c r="K51" s="29" t="n">
        <x:f>IF(I51="Done",1,IF(I51="In Progress",0.5,IF(I51="Skipped",1,0)))</x:f>
        <x:v>0</x:v>
      </x:c>
      <x:c r="L51" s="28" t="str"/>
    </x:row>
    <x:row r="52" ht="38" customHeight="1">
      <x:c r="A52" s="32" t="n">
        <x:v>46217</x:v>
      </x:c>
      <x:c r="B52" s="28" t="n">
        <x:v>8</x:v>
      </x:c>
      <x:c r="C52" s="28" t="str">
        <x:v>Tue</x:v>
      </x:c>
      <x:c r="D52" s="33" t="n">
        <x:v>2.5</x:v>
      </x:c>
      <x:c r="E52" s="28" t="str">
        <x:v>Review</x:v>
      </x:c>
      <x:c r="F52" s="28" t="str">
        <x:v>Review hardware/interrupt/device model/device tree</x:v>
      </x:c>
      <x:c r="G52" s="28" t="str">
        <x:v>Practice whiteboard explanations</x:v>
      </x:c>
      <x:c r="H52" s="28" t="str">
        <x:v>Whiteboard scripts</x:v>
      </x:c>
      <x:c r="I52" s="28" t="str">
        <x:v>Not Started</x:v>
      </x:c>
      <x:c r="J52" s="33"/>
      <x:c r="K52" s="29" t="n">
        <x:f>IF(I52="Done",1,IF(I52="In Progress",0.5,IF(I52="Skipped",1,0)))</x:f>
        <x:v>0</x:v>
      </x:c>
      <x:c r="L52" s="28" t="str"/>
    </x:row>
    <x:row r="53" ht="38" customHeight="1">
      <x:c r="A53" s="32" t="n">
        <x:v>46218</x:v>
      </x:c>
      <x:c r="B53" s="28" t="n">
        <x:v>8</x:v>
      </x:c>
      <x:c r="C53" s="28" t="str">
        <x:v>Wed</x:v>
      </x:c>
      <x:c r="D53" s="33" t="n">
        <x:v>2.5</x:v>
      </x:c>
      <x:c r="E53" s="28" t="str">
        <x:v>Portfolio</x:v>
      </x:c>
      <x:c r="F53" s="28" t="str">
        <x:v>Organize GitHub/demo folder structure</x:v>
      </x:c>
      <x:c r="G53" s="28" t="str">
        <x:v>Add README for each lab</x:v>
      </x:c>
      <x:c r="H53" s="28" t="str">
        <x:v>Portfolio folder ready</x:v>
      </x:c>
      <x:c r="I53" s="28" t="str">
        <x:v>Not Started</x:v>
      </x:c>
      <x:c r="J53" s="33"/>
      <x:c r="K53" s="29" t="n">
        <x:f>IF(I53="Done",1,IF(I53="In Progress",0.5,IF(I53="Skipped",1,0)))</x:f>
        <x:v>0</x:v>
      </x:c>
      <x:c r="L53" s="28" t="str"/>
    </x:row>
    <x:row r="54" ht="38" customHeight="1">
      <x:c r="A54" s="32" t="n">
        <x:v>46219</x:v>
      </x:c>
      <x:c r="B54" s="28" t="n">
        <x:v>8</x:v>
      </x:c>
      <x:c r="C54" s="28" t="str">
        <x:v>Thu</x:v>
      </x:c>
      <x:c r="D54" s="33" t="n">
        <x:v>2.5</x:v>
      </x:c>
      <x:c r="E54" s="28" t="str">
        <x:v>Mock</x:v>
      </x:c>
      <x:c r="F54" s="28" t="str">
        <x:v>Full mock interview round 1</x:v>
      </x:c>
      <x:c r="G54" s="28" t="str">
        <x:v>Answer 25 questions out loud</x:v>
      </x:c>
      <x:c r="H54" s="28" t="str">
        <x:v>Weakness list</x:v>
      </x:c>
      <x:c r="I54" s="28" t="str">
        <x:v>Not Started</x:v>
      </x:c>
      <x:c r="J54" s="33"/>
      <x:c r="K54" s="29" t="n">
        <x:f>IF(I54="Done",1,IF(I54="In Progress",0.5,IF(I54="Skipped",1,0)))</x:f>
        <x:v>0</x:v>
      </x:c>
      <x:c r="L54" s="28" t="str"/>
    </x:row>
    <x:row r="55" ht="38" customHeight="1">
      <x:c r="A55" s="32" t="n">
        <x:v>46220</x:v>
      </x:c>
      <x:c r="B55" s="28" t="n">
        <x:v>8</x:v>
      </x:c>
      <x:c r="C55" s="28" t="str">
        <x:v>Fri</x:v>
      </x:c>
      <x:c r="D55" s="33" t="n">
        <x:v>2.5</x:v>
      </x:c>
      <x:c r="E55" s="28" t="str">
        <x:v>Fix</x:v>
      </x:c>
      <x:c r="F55" s="28" t="str">
        <x:v>Revisit weak topics from mock round 1</x:v>
      </x:c>
      <x:c r="G55" s="28" t="str">
        <x:v>Patch notes and examples</x:v>
      </x:c>
      <x:c r="H55" s="28" t="str">
        <x:v>Final Q&amp;A bank</x:v>
      </x:c>
      <x:c r="I55" s="28" t="str">
        <x:v>Not Started</x:v>
      </x:c>
      <x:c r="J55" s="33"/>
      <x:c r="K55" s="29" t="n">
        <x:f>IF(I55="Done",1,IF(I55="In Progress",0.5,IF(I55="Skipped",1,0)))</x:f>
        <x:v>0</x:v>
      </x:c>
      <x:c r="L55" s="28" t="str"/>
    </x:row>
    <x:row r="56" ht="38" customHeight="1">
      <x:c r="A56" s="32" t="n">
        <x:v>46221</x:v>
      </x:c>
      <x:c r="B56" s="28" t="n">
        <x:v>8</x:v>
      </x:c>
      <x:c r="C56" s="28" t="str">
        <x:v>Sat</x:v>
      </x:c>
      <x:c r="D56" s="33" t="n">
        <x:v>7</x:v>
      </x:c>
      <x:c r="E56" s="28" t="str">
        <x:v>Mock</x:v>
      </x:c>
      <x:c r="F56" s="28" t="str">
        <x:v>Full mock interview round 2</x:v>
      </x:c>
      <x:c r="G56" s="28" t="str">
        <x:v>Explain full char driver + platform driver flow</x:v>
      </x:c>
      <x:c r="H56" s="28" t="str">
        <x:v>Interview-ready narrative</x:v>
      </x:c>
      <x:c r="I56" s="28" t="str">
        <x:v>Not Started</x:v>
      </x:c>
      <x:c r="J56" s="33"/>
      <x:c r="K56" s="29" t="n">
        <x:f>IF(I56="Done",1,IF(I56="In Progress",0.5,IF(I56="Skipped",1,0)))</x:f>
        <x:v>0</x:v>
      </x:c>
      <x:c r="L56" s="28" t="str"/>
    </x:row>
    <x:row r="57" ht="38" customHeight="1">
      <x:c r="A57" s="32" t="n">
        <x:v>46222</x:v>
      </x:c>
      <x:c r="B57" s="28" t="n">
        <x:v>8</x:v>
      </x:c>
      <x:c r="C57" s="28" t="str">
        <x:v>Sun</x:v>
      </x:c>
      <x:c r="D57" s="33" t="n">
        <x:v>7</x:v>
      </x:c>
      <x:c r="E57" s="28" t="str">
        <x:v>Final</x:v>
      </x:c>
      <x:c r="F57" s="28" t="str">
        <x:v>Light review only; rest and prepare stories</x:v>
      </x:c>
      <x:c r="G57" s="28" t="str">
        <x:v>Prepare honest experience pitch</x:v>
      </x:c>
      <x:c r="H57" s="28" t="str">
        <x:v>Final prep complete</x:v>
      </x:c>
      <x:c r="I57" s="28" t="str">
        <x:v>Not Started</x:v>
      </x:c>
      <x:c r="J57" s="33"/>
      <x:c r="K57" s="29" t="n">
        <x:f>IF(I57="Done",1,IF(I57="In Progress",0.5,IF(I57="Skipped",1,0)))</x:f>
        <x:v>0</x:v>
      </x:c>
      <x:c r="L57" s="28" t="str"/>
    </x:row>
  </x:sheetData>
  <x:conditionalFormatting sqref="I2:I57">
    <x:cfRule type="expression" dxfId="0" priority="1">
      <x:formula>I2="Done"</x:formula>
    </x:cfRule>
    <x:cfRule type="expression" dxfId="1" priority="2">
      <x:formula>I2="In Progress"</x:formula>
    </x:cfRule>
    <x:cfRule type="expression" dxfId="2" priority="3">
      <x:formula>I2="Blocked"</x:formula>
    </x:cfRule>
  </x:conditionalFormatting>
  <x:conditionalFormatting sqref="K2:K57">
    <x:cfRule type="dataBar" priority="4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{5447274F-0D26-F85A-6F8A-B39F8F51996C}</x14:id>
        </x:ext>
      </x:extLst>
    </x:cfRule>
  </x:conditionalFormatting>
  <x:dataValidations count="1">
    <x:dataValidation type="list" sqref="I2:I57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2ca077babc49c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5447274F-0D26-F85A-6F8A-B39F8F51996C}">
            <x14:dataBar gradient="1">
              <x14:cfvo type="min"/>
              <x14:cfvo type="max"/>
              <x14:fillColor rgb="0F766E"/>
            </x14:dataBar>
          </x14:cfRule>
          <xm:sqref>K2:K57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42" hidden="0" customWidth="1"/>
    <x:col min="4" max="4" width="32" hidden="0" customWidth="1"/>
    <x:col min="5" max="5" width="36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8" customHeight="1">
      <x:c r="A1" s="6" t="str">
        <x:v>Week</x:v>
      </x:c>
      <x:c r="B1" s="6" t="str">
        <x:v>Theme</x:v>
      </x:c>
      <x:c r="C1" s="6" t="str">
        <x:v>Main Objective</x:v>
      </x:c>
      <x:c r="D1" s="6" t="str">
        <x:v>Source Focus</x:v>
      </x:c>
      <x:c r="E1" s="6" t="str">
        <x:v>Practical Deliverable</x:v>
      </x:c>
      <x:c r="F1" s="6" t="str">
        <x:v>Target Hours</x:v>
      </x:c>
      <x:c r="G1" s="6" t="str">
        <x:v>Done Tasks</x:v>
      </x:c>
      <x:c r="H1" s="6" t="str">
        <x:v>Total Tasks</x:v>
      </x:c>
      <x:c r="I1" s="6" t="str">
        <x:v>Progress</x:v>
      </x:c>
      <x:c r="J1" s="6"/>
      <x:c r="K1" s="6"/>
      <x:c r="L1" s="6"/>
    </x:row>
    <x:row r="2" ht="48" customHeight="1">
      <x:c r="A2" s="28" t="n">
        <x:v>1</x:v>
      </x:c>
      <x:c r="B2" s="28" t="str">
        <x:v>UNIX review + driver environment setup</x:v>
      </x:c>
      <x:c r="C2" s="28" t="str">
        <x:v>Review Unix kernel architecture and set up a safe Linux kernel-module lab.</x:v>
      </x:c>
      <x:c r="D2" s="28" t="str">
        <x:v>UNIX Ch.1–10 review; LDD Ch.1–2</x:v>
      </x:c>
      <x:c r="E2" s="28" t="str">
        <x:v>Working hello module + architecture notes</x:v>
      </x:c>
      <x:c r="F2" s="33" t="n">
        <x:f>SUMIF('Daily Tracker'!$B:$B,A2,'Daily Tracker'!$D:$D)</x:f>
        <x:v>26.5</x:v>
      </x:c>
      <x:c r="G2" s="28" t="n">
        <x:f>COUNTIFS('Daily Tracker'!$B:$B,A2,'Daily Tracker'!$I:$I,"Done")</x:f>
        <x:v>0</x:v>
      </x:c>
      <x:c r="H2" s="28" t="n">
        <x:v>7</x:v>
      </x:c>
      <x:c r="I2" s="29" t="n">
        <x:f>G2/H2</x:f>
        <x:v>0</x:v>
      </x:c>
    </x:row>
    <x:row r="3" ht="48" customHeight="1">
      <x:c r="A3" s="28" t="n">
        <x:v>2</x:v>
      </x:c>
      <x:c r="B3" s="28" t="str">
        <x:v>Character drivers basics</x:v>
      </x:c>
      <x:c r="C3" s="28" t="str">
        <x:v>Implement a basic char driver with open/release/read/write and user-space tests.</x:v>
      </x:c>
      <x:c r="D3" s="28" t="str">
        <x:v>LDD Ch.3–4</x:v>
      </x:c>
      <x:c r="E3" s="28" t="str">
        <x:v>Basic char driver + read/write test app</x:v>
      </x:c>
      <x:c r="F3" s="33" t="n">
        <x:f>SUMIF('Daily Tracker'!$B:$B,A3,'Daily Tracker'!$D:$D)</x:f>
        <x:v>26.5</x:v>
      </x:c>
      <x:c r="G3" s="28" t="n">
        <x:f>COUNTIFS('Daily Tracker'!$B:$B,A3,'Daily Tracker'!$I:$I,"Done")</x:f>
        <x:v>0</x:v>
      </x:c>
      <x:c r="H3" s="28" t="n">
        <x:v>7</x:v>
      </x:c>
      <x:c r="I3" s="29" t="n">
        <x:f>G3/H3</x:f>
        <x:v>0</x:v>
      </x:c>
    </x:row>
    <x:row r="4" ht="48" customHeight="1">
      <x:c r="A4" s="28" t="n">
        <x:v>3</x:v>
      </x:c>
      <x:c r="B4" s="28" t="str">
        <x:v>ioctl, blocking I/O, poll, timers/workqueues</x:v>
      </x:c>
      <x:c r="C4" s="28" t="str">
        <x:v>Add ioctl, blocking/nonblocking read, poll, wait queues, and deferred work.</x:v>
      </x:c>
      <x:c r="D4" s="28" t="str">
        <x:v>LDD Ch.6–7</x:v>
      </x:c>
      <x:c r="E4" s="28" t="str">
        <x:v>Advanced char driver with ioctl/poll/waitqueue/timer</x:v>
      </x:c>
      <x:c r="F4" s="33" t="n">
        <x:f>SUMIF('Daily Tracker'!$B:$B,A4,'Daily Tracker'!$D:$D)</x:f>
        <x:v>26.5</x:v>
      </x:c>
      <x:c r="G4" s="28" t="n">
        <x:f>COUNTIFS('Daily Tracker'!$B:$B,A4,'Daily Tracker'!$I:$I,"Done")</x:f>
        <x:v>0</x:v>
      </x:c>
      <x:c r="H4" s="28" t="n">
        <x:v>7</x:v>
      </x:c>
      <x:c r="I4" s="29" t="n">
        <x:f>G4/H4</x:f>
        <x:v>0</x:v>
      </x:c>
    </x:row>
    <x:row r="5" ht="48" customHeight="1">
      <x:c r="A5" s="28" t="n">
        <x:v>4</x:v>
      </x:c>
      <x:c r="B5" s="28" t="str">
        <x:v>Concurrency, locking, memory allocation</x:v>
      </x:c>
      <x:c r="C5" s="28" t="str">
        <x:v>Practice mutex/spinlock, race conditions, kmalloc/vmalloc, kernel data types.</x:v>
      </x:c>
      <x:c r="D5" s="28" t="str">
        <x:v>LDD Ch.5, Ch.8, Ch.11</x:v>
      </x:c>
      <x:c r="E5" s="28" t="str">
        <x:v>Concurrency-safe driver + memory allocation notes</x:v>
      </x:c>
      <x:c r="F5" s="33" t="n">
        <x:f>SUMIF('Daily Tracker'!$B:$B,A5,'Daily Tracker'!$D:$D)</x:f>
        <x:v>26.5</x:v>
      </x:c>
      <x:c r="G5" s="28" t="n">
        <x:f>COUNTIFS('Daily Tracker'!$B:$B,A5,'Daily Tracker'!$I:$I,"Done")</x:f>
        <x:v>0</x:v>
      </x:c>
      <x:c r="H5" s="28" t="n">
        <x:v>7</x:v>
      </x:c>
      <x:c r="I5" s="29" t="n">
        <x:f>G5/H5</x:f>
        <x:v>0</x:v>
      </x:c>
    </x:row>
    <x:row r="6" ht="48" customHeight="1">
      <x:c r="A6" s="28" t="n">
        <x:v>5</x:v>
      </x:c>
      <x:c r="B6" s="28" t="str">
        <x:v>Hardware interaction: MMIO + interrupts</x:v>
      </x:c>
      <x:c r="C6" s="28" t="str">
        <x:v>Understand register access, interrupt flow, top/bottom halves, and simulated hardware events.</x:v>
      </x:c>
      <x:c r="D6" s="28" t="str">
        <x:v>LDD Ch.9–10</x:v>
      </x:c>
      <x:c r="E6" s="28" t="str">
        <x:v>Simulated interrupt-driven driver behavior</x:v>
      </x:c>
      <x:c r="F6" s="33" t="n">
        <x:f>SUMIF('Daily Tracker'!$B:$B,A6,'Daily Tracker'!$D:$D)</x:f>
        <x:v>26.5</x:v>
      </x:c>
      <x:c r="G6" s="28" t="n">
        <x:f>COUNTIFS('Daily Tracker'!$B:$B,A6,'Daily Tracker'!$I:$I,"Done")</x:f>
        <x:v>0</x:v>
      </x:c>
      <x:c r="H6" s="28" t="n">
        <x:v>7</x:v>
      </x:c>
      <x:c r="I6" s="29" t="n">
        <x:f>G6/H6</x:f>
        <x:v>0</x:v>
      </x:c>
    </x:row>
    <x:row r="7" ht="48" customHeight="1">
      <x:c r="A7" s="28" t="n">
        <x:v>6</x:v>
      </x:c>
      <x:c r="B7" s="28" t="str">
        <x:v>Device model, platform driver, sysfs, device tree</x:v>
      </x:c>
      <x:c r="C7" s="28" t="str">
        <x:v>Build a mock platform driver, parse a device tree property, expose sysfs attribute.</x:v>
      </x:c>
      <x:c r="D7" s="28" t="str">
        <x:v>LDD Ch.14 + modern device tree/platform driver docs</x:v>
      </x:c>
      <x:c r="E7" s="28" t="str">
        <x:v>Mock platform driver + sysfs + DTS snippet</x:v>
      </x:c>
      <x:c r="F7" s="33" t="n">
        <x:f>SUMIF('Daily Tracker'!$B:$B,A7,'Daily Tracker'!$D:$D)</x:f>
        <x:v>26.5</x:v>
      </x:c>
      <x:c r="G7" s="28" t="n">
        <x:f>COUNTIFS('Daily Tracker'!$B:$B,A7,'Daily Tracker'!$I:$I,"Done")</x:f>
        <x:v>0</x:v>
      </x:c>
      <x:c r="H7" s="28" t="n">
        <x:v>7</x:v>
      </x:c>
      <x:c r="I7" s="29" t="n">
        <x:f>G7/H7</x:f>
        <x:v>0</x:v>
      </x:c>
    </x:row>
    <x:row r="8" ht="48" customHeight="1">
      <x:c r="A8" s="28" t="n">
        <x:v>7</x:v>
      </x:c>
      <x:c r="B8" s="28" t="str">
        <x:v>DMA + buses overview: I2C/SPI/USB/PCI + block/network</x:v>
      </x:c>
      <x:c r="C8" s="28" t="str">
        <x:v>Build conceptual breadth for embedded interviews; focus on DMA and common buses.</x:v>
      </x:c>
      <x:c r="D8" s="28" t="str">
        <x:v>LDD Ch.12–13, Ch.15–18 overview</x:v>
      </x:c>
      <x:c r="E8" s="28" t="str">
        <x:v>DMA/bus overview notes + debug checklist</x:v>
      </x:c>
      <x:c r="F8" s="33" t="n">
        <x:f>SUMIF('Daily Tracker'!$B:$B,A8,'Daily Tracker'!$D:$D)</x:f>
        <x:v>26.5</x:v>
      </x:c>
      <x:c r="G8" s="28" t="n">
        <x:f>COUNTIFS('Daily Tracker'!$B:$B,A8,'Daily Tracker'!$I:$I,"Done")</x:f>
        <x:v>0</x:v>
      </x:c>
      <x:c r="H8" s="28" t="n">
        <x:v>7</x:v>
      </x:c>
      <x:c r="I8" s="29" t="n">
        <x:f>G8/H8</x:f>
        <x:v>0</x:v>
      </x:c>
    </x:row>
    <x:row r="9" ht="48" customHeight="1">
      <x:c r="A9" s="28" t="n">
        <x:v>8</x:v>
      </x:c>
      <x:c r="B9" s="28" t="str">
        <x:v>Mock interview + portfolio polish</x:v>
      </x:c>
      <x:c r="C9" s="28" t="str">
        <x:v>Polish GitHub/demo folder, prepare answer bank, and run mock interviews.</x:v>
      </x:c>
      <x:c r="D9" s="28" t="str">
        <x:v>All notes + practical projects</x:v>
      </x:c>
      <x:c r="E9" s="28" t="str">
        <x:v>Portfolio folder + final interview answer bank</x:v>
      </x:c>
      <x:c r="F9" s="33" t="n">
        <x:f>SUMIF('Daily Tracker'!$B:$B,A9,'Daily Tracker'!$D:$D)</x:f>
        <x:v>26.5</x:v>
      </x:c>
      <x:c r="G9" s="28" t="n">
        <x:f>COUNTIFS('Daily Tracker'!$B:$B,A9,'Daily Tracker'!$I:$I,"Done")</x:f>
        <x:v>0</x:v>
      </x:c>
      <x:c r="H9" s="28" t="n">
        <x:v>7</x:v>
      </x:c>
      <x:c r="I9" s="29" t="n">
        <x:f>G9/H9</x:f>
        <x:v>0</x:v>
      </x:c>
    </x:row>
  </x:sheetData>
  <x:conditionalFormatting sqref="I2:I9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{42C5FA43-5C83-ACD8-4094-A3E0AE5D87F8}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ae3f60e6d664dc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2C5FA43-5C83-ACD8-4094-A3E0AE5D87F8}">
            <x14:dataBar gradient="1">
              <x14:cfvo type="min"/>
              <x14:cfvo type="max"/>
              <x14:fillColor rgb="0F766E"/>
            </x14:dataBar>
          </x14:cfRule>
          <xm:sqref>I2:I9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14" hidden="0" customWidth="1"/>
    <x:col min="5" max="5" width="26" hidden="0" customWidth="1"/>
  </x:cols>
  <x:sheetData>
    <x:row r="1" ht="40" customHeight="1">
      <x:c r="A1" s="6" t="str">
        <x:v>Topic</x:v>
      </x:c>
      <x:c r="B1" s="6" t="str">
        <x:v>Question</x:v>
      </x:c>
      <x:c r="C1" s="6" t="str">
        <x:v>Good Answer Keywords</x:v>
      </x:c>
      <x:c r="D1" s="6" t="str">
        <x:v>Status</x:v>
      </x:c>
      <x:c r="E1" s="6" t="str">
        <x:v>Notes</x:v>
      </x:c>
      <x:c r="F1" s="6"/>
      <x:c r="G1" s="6"/>
      <x:c r="H1" s="6"/>
      <x:c r="I1" s="6"/>
      <x:c r="J1" s="6"/>
      <x:c r="K1" s="6"/>
      <x:c r="L1" s="6"/>
    </x:row>
    <x:row r="2" ht="40" customHeight="1">
      <x:c r="A2" s="28" t="str">
        <x:v>Kernel basics</x:v>
      </x:c>
      <x:c r="B2" s="28" t="str">
        <x:v>What is the difference between user space and kernel space?</x:v>
      </x:c>
      <x:c r="C2" s="28" t="str">
        <x:v>privilege, protection, syscall boundary, memory access</x:v>
      </x:c>
      <x:c r="D2" s="28" t="str">
        <x:v>Not Started</x:v>
      </x:c>
      <x:c r="E2" s="28" t="str"/>
    </x:row>
    <x:row r="3" ht="40" customHeight="1">
      <x:c r="A3" s="28" t="str">
        <x:v>Syscalls</x:v>
      </x:c>
      <x:c r="B3" s="28" t="str">
        <x:v>What happens when a user program calls read()?</x:v>
      </x:c>
      <x:c r="C3" s="28" t="str">
        <x:v>libc wrapper, syscall, fd table, file_operations, driver read</x:v>
      </x:c>
      <x:c r="D3" s="28" t="str">
        <x:v>Not Started</x:v>
      </x:c>
      <x:c r="E3" s="28" t="str"/>
    </x:row>
    <x:row r="4" ht="40" customHeight="1">
      <x:c r="A4" s="28" t="str">
        <x:v>Modules</x:v>
      </x:c>
      <x:c r="B4" s="28" t="str">
        <x:v>What happens when insmod loads a module?</x:v>
      </x:c>
      <x:c r="C4" s="28" t="str">
        <x:v>init function, symbol resolution, module refcount, kernel log</x:v>
      </x:c>
      <x:c r="D4" s="28" t="str">
        <x:v>Not Started</x:v>
      </x:c>
      <x:c r="E4" s="28" t="str"/>
    </x:row>
    <x:row r="5" ht="40" customHeight="1">
      <x:c r="A5" s="28" t="str">
        <x:v>Char driver</x:v>
      </x:c>
      <x:c r="B5" s="28" t="str">
        <x:v>What are major and minor numbers?</x:v>
      </x:c>
      <x:c r="C5" s="28" t="str">
        <x:v>driver identity, device instance, /dev node</x:v>
      </x:c>
      <x:c r="D5" s="28" t="str">
        <x:v>Not Started</x:v>
      </x:c>
      <x:c r="E5" s="28" t="str"/>
    </x:row>
    <x:row r="6" ht="40" customHeight="1">
      <x:c r="A6" s="28" t="str">
        <x:v>Char driver</x:v>
      </x:c>
      <x:c r="B6" s="28" t="str">
        <x:v>What is struct file_operations?</x:v>
      </x:c>
      <x:c r="C6" s="28" t="str">
        <x:v>callback table, open/read/write/ioctl/poll/release</x:v>
      </x:c>
      <x:c r="D6" s="28" t="str">
        <x:v>Not Started</x:v>
      </x:c>
      <x:c r="E6" s="28" t="str"/>
    </x:row>
    <x:row r="7" ht="40" customHeight="1">
      <x:c r="A7" s="28" t="str">
        <x:v>User pointers</x:v>
      </x:c>
      <x:c r="B7" s="28" t="str">
        <x:v>Why use copy_to_user/copy_from_user?</x:v>
      </x:c>
      <x:c r="C7" s="28" t="str">
        <x:v>user memory validation, fault handling, kernel safety</x:v>
      </x:c>
      <x:c r="D7" s="28" t="str">
        <x:v>Not Started</x:v>
      </x:c>
      <x:c r="E7" s="28" t="str"/>
    </x:row>
    <x:row r="8" ht="40" customHeight="1">
      <x:c r="A8" s="28" t="str">
        <x:v>I/O</x:v>
      </x:c>
      <x:c r="B8" s="28" t="str">
        <x:v>Blocking vs non-blocking I/O?</x:v>
      </x:c>
      <x:c r="C8" s="28" t="str">
        <x:v>wait queue, O_NONBLOCK, EAGAIN, poll</x:v>
      </x:c>
      <x:c r="D8" s="28" t="str">
        <x:v>Not Started</x:v>
      </x:c>
      <x:c r="E8" s="28" t="str"/>
    </x:row>
    <x:row r="9" ht="40" customHeight="1">
      <x:c r="A9" s="28" t="str">
        <x:v>ioctl</x:v>
      </x:c>
      <x:c r="B9" s="28" t="str">
        <x:v>When should ioctl be used?</x:v>
      </x:c>
      <x:c r="C9" s="28" t="str">
        <x:v>control/config operations not fitting read/write</x:v>
      </x:c>
      <x:c r="D9" s="28" t="str">
        <x:v>Not Started</x:v>
      </x:c>
      <x:c r="E9" s="28" t="str"/>
    </x:row>
    <x:row r="10" ht="40" customHeight="1">
      <x:c r="A10" s="28" t="str">
        <x:v>Concurrency</x:v>
      </x:c>
      <x:c r="B10" s="28" t="str">
        <x:v>Mutex vs spinlock?</x:v>
      </x:c>
      <x:c r="C10" s="28" t="str">
        <x:v>sleepable vs atomic, interrupt context, SMP safety</x:v>
      </x:c>
      <x:c r="D10" s="28" t="str">
        <x:v>Not Started</x:v>
      </x:c>
      <x:c r="E10" s="28" t="str"/>
    </x:row>
    <x:row r="11" ht="40" customHeight="1">
      <x:c r="A11" s="28" t="str">
        <x:v>Memory</x:v>
      </x:c>
      <x:c r="B11" s="28" t="str">
        <x:v>kmalloc vs vmalloc?</x:v>
      </x:c>
      <x:c r="C11" s="28" t="str">
        <x:v>physically contiguous vs virtually contiguous, size/performance</x:v>
      </x:c>
      <x:c r="D11" s="28" t="str">
        <x:v>Not Started</x:v>
      </x:c>
      <x:c r="E11" s="28" t="str"/>
    </x:row>
    <x:row r="12" ht="40" customHeight="1">
      <x:c r="A12" s="28" t="str">
        <x:v>Interrupts</x:v>
      </x:c>
      <x:c r="B12" s="28" t="str">
        <x:v>What can you do inside an interrupt handler?</x:v>
      </x:c>
      <x:c r="C12" s="28" t="str">
        <x:v>fast, no sleep, acknowledge device, schedule bottom half</x:v>
      </x:c>
      <x:c r="D12" s="28" t="str">
        <x:v>Not Started</x:v>
      </x:c>
      <x:c r="E12" s="28" t="str"/>
    </x:row>
    <x:row r="13" ht="40" customHeight="1">
      <x:c r="A13" s="28" t="str">
        <x:v>Deferred work</x:v>
      </x:c>
      <x:c r="B13" s="28" t="str">
        <x:v>Workqueue vs tasklet/threaded IRQ?</x:v>
      </x:c>
      <x:c r="C13" s="28" t="str">
        <x:v>process context, can sleep, bottom half strategy</x:v>
      </x:c>
      <x:c r="D13" s="28" t="str">
        <x:v>Not Started</x:v>
      </x:c>
      <x:c r="E13" s="28" t="str"/>
    </x:row>
    <x:row r="14" ht="40" customHeight="1">
      <x:c r="A14" s="28" t="str">
        <x:v>Device model</x:v>
      </x:c>
      <x:c r="B14" s="28" t="str">
        <x:v>What is probe()?</x:v>
      </x:c>
      <x:c r="C14" s="28" t="str">
        <x:v>called after match, allocate resources, initialize hardware</x:v>
      </x:c>
      <x:c r="D14" s="28" t="str">
        <x:v>Not Started</x:v>
      </x:c>
      <x:c r="E14" s="28" t="str"/>
    </x:row>
    <x:row r="15" ht="40" customHeight="1">
      <x:c r="A15" s="28" t="str">
        <x:v>Device tree</x:v>
      </x:c>
      <x:c r="B15" s="28" t="str">
        <x:v>Why embedded Linux uses device tree?</x:v>
      </x:c>
      <x:c r="C15" s="28" t="str">
        <x:v>hardware description separate from kernel code</x:v>
      </x:c>
      <x:c r="D15" s="28" t="str">
        <x:v>Not Started</x:v>
      </x:c>
      <x:c r="E15" s="28" t="str"/>
    </x:row>
    <x:row r="16" ht="40" customHeight="1">
      <x:c r="A16" s="28" t="str">
        <x:v>Debugging</x:v>
      </x:c>
      <x:c r="B16" s="28" t="str">
        <x:v>How debug a device that does not probe?</x:v>
      </x:c>
      <x:c r="C16" s="28" t="str">
        <x:v>dmesg, compatible, DT path, driver loaded, clocks, reset, pinctrl, IRQ</x:v>
      </x:c>
      <x:c r="D16" s="28" t="str">
        <x:v>Not Started</x:v>
      </x:c>
      <x:c r="E16" s="28" t="str"/>
    </x:row>
    <x:row r="17" ht="40" customHeight="1">
      <x:c r="A17" s="28" t="str">
        <x:v>DMA</x:v>
      </x:c>
      <x:c r="B17" s="28" t="str">
        <x:v>What is DMA and cache coherency?</x:v>
      </x:c>
      <x:c r="C17" s="28" t="str">
        <x:v>device memory access, mapping, coherent/streaming, cache sync</x:v>
      </x:c>
      <x:c r="D17" s="28" t="str">
        <x:v>Not Started</x:v>
      </x:c>
      <x:c r="E17" s="28" t="str"/>
    </x:row>
    <x:row r="18" ht="40" customHeight="1">
      <x:c r="A18" s="28" t="str">
        <x:v>Bus</x:v>
      </x:c>
      <x:c r="B18" s="28" t="str">
        <x:v>How would you write an I2C sensor driver?</x:v>
      </x:c>
      <x:c r="C18" s="28" t="str">
        <x:v>client driver, probe, regmap, read registers, expose interface</x:v>
      </x:c>
      <x:c r="D18" s="28" t="str">
        <x:v>Not Started</x:v>
      </x:c>
      <x:c r="E18" s="28" t="str"/>
    </x:row>
    <x:row r="19" ht="40" customHeight="1">
      <x:c r="A19" s="28" t="str">
        <x:v>Linux classes</x:v>
      </x:c>
      <x:c r="B19" s="28" t="str">
        <x:v>Char vs block vs network drivers?</x:v>
      </x:c>
      <x:c r="C19" s="28" t="str">
        <x:v>byte stream, random block storage, packets/net_device</x:v>
      </x:c>
      <x:c r="D19" s="28" t="str">
        <x:v>Not Started</x:v>
      </x:c>
      <x:c r="E19" s="28" t="str"/>
    </x:row>
  </x:sheetData>
  <x:dataValidations count="1">
    <x:dataValidation type="list" sqref="D2:D19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4b07e9f1c249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44" hidden="0" customWidth="1"/>
    <x:col min="4" max="4" width="42" hidden="0" customWidth="1"/>
  </x:cols>
  <x:sheetData>
    <x:row r="1">
      <x:c r="A1" s="6" t="str">
        <x:v>Source</x:v>
      </x:c>
      <x:c r="B1" s="6" t="str">
        <x:v>How to use it</x:v>
      </x:c>
      <x:c r="C1" s="6" t="str">
        <x:v>Important focus</x:v>
      </x:c>
      <x:c r="D1" s="6" t="str">
        <x:v>Notes</x:v>
      </x:c>
      <x:c r="E1" s="6"/>
      <x:c r="F1" s="6"/>
      <x:c r="G1" s="6"/>
      <x:c r="H1" s="6"/>
      <x:c r="I1" s="6"/>
      <x:c r="J1" s="6"/>
      <x:c r="K1" s="6"/>
      <x:c r="L1" s="6"/>
    </x:row>
    <x:row r="2">
      <x:c r="A2" s="28" t="str">
        <x:v>Linux Device Drivers, 3rd Edition</x:v>
      </x:c>
      <x:c r="B2" s="28" t="str">
        <x:v>Main hands-on learning source</x:v>
      </x:c>
      <x:c r="C2" s="28" t="str">
        <x:v>Ch.1–8 deep; Ch.9–10 medium; Ch.14 medium; Ch.15 conceptual; Ch.12–13/16–18 overview</x:v>
      </x:c>
      <x:c r="D2" s="28" t="str">
        <x:v>Book targets Linux 2.6.10, so compare APIs with current kernel docs.</x:v>
      </x:c>
    </x:row>
    <x:row r="3">
      <x:c r="A3" s="28" t="str">
        <x:v>The Design of the UNIX Operating System</x:v>
      </x:c>
      <x:c r="B3" s="28" t="str">
        <x:v>Review source only</x:v>
      </x:c>
      <x:c r="C3" s="28" t="str">
        <x:v>Ch.1–10: kernel architecture, file subsystem, process control, scheduling, memory, I/O subsystem</x:v>
      </x:c>
      <x:c r="D3" s="28" t="str">
        <x:v>Use for conceptual explanation depth, not modern Linux API details.</x:v>
      </x:c>
    </x:row>
    <x:row r="4">
      <x:c r="A4" s="28" t="str">
        <x:v>Official Linux kernel documentation</x:v>
      </x:c>
      <x:c r="B4" s="28" t="str">
        <x:v>Modern API cross-check</x:v>
      </x:c>
      <x:c r="C4" s="28" t="str">
        <x:v>Driver API, device tree, I2C/SPI/USB/DMA, debugging/tracing</x:v>
      </x:c>
      <x:c r="D4" s="28" t="str">
        <x:v>Use after reading old LDD sections.</x:v>
      </x:c>
    </x:row>
  </x:sheetData>
  <x:pageMargins left="0.7" right="0.7" top="0.75" bottom="0.75" header="0.3" footer="0.3"/>
  <x:tableParts count="1">
    <x:tablePart xmlns:r="http://schemas.openxmlformats.org/officeDocument/2006/relationships" r:id="Rfcfc03ce1ddb4cda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Status</x:v>
      </x:c>
    </x:row>
    <x:row r="2">
      <x:c r="A2" t="str">
        <x:v>Not Started</x:v>
      </x:c>
    </x:row>
    <x:row r="3">
      <x:c r="A3" t="str">
        <x:v>In Progress</x:v>
      </x:c>
    </x:row>
    <x:row r="4">
      <x:c r="A4" t="str">
        <x:v>Done</x:v>
      </x:c>
    </x:row>
    <x:row r="5">
      <x:c r="A5" t="str">
        <x:v>Blocked</x:v>
      </x:c>
    </x:row>
    <x:row r="6">
      <x:c r="A6" t="str">
        <x:v>Skipped</x:v>
      </x:c>
    </x:row>
  </x:sheetData>
  <x:pageMargins left="0.7" right="0.7" top="0.75" bottom="0.75" header="0.3" footer="0.3"/>
</x:worksheet>
</file>